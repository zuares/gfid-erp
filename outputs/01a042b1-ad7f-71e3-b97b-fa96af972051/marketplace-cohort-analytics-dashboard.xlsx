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ce4bdff55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9b9ca869f1d4e25"/>
    <x:sheet xmlns:r="http://schemas.openxmlformats.org/officeDocument/2006/relationships" name="Data &amp; Targets" sheetId="2" r:id="R514ff2fe08dc4c69"/>
    <x:sheet xmlns:r="http://schemas.openxmlformats.org/officeDocument/2006/relationships" name="_Chart Helpers" sheetId="3" r:id="R165b30ee1eec4bae"/>
    <x:sheet xmlns:r="http://schemas.openxmlformats.org/officeDocument/2006/relationships" name="Audit &amp; Plan" sheetId="4" r:id="R9d966dcd90dc478a"/>
    <x:sheet xmlns:r="http://schemas.openxmlformats.org/officeDocument/2006/relationships" name="Cohort Input" sheetId="5" r:id="R86d783ad8fd44761"/>
    <x:sheet xmlns:r="http://schemas.openxmlformats.org/officeDocument/2006/relationships" name="Cohort Analysis" sheetId="6" r:id="Rb7c5ff4c972a4f43"/>
    <x:sheet xmlns:r="http://schemas.openxmlformats.org/officeDocument/2006/relationships" name="Product Performance" sheetId="7" r:id="Ra2156fe6d6c44037"/>
    <x:sheet xmlns:r="http://schemas.openxmlformats.org/officeDocument/2006/relationships" name="Profitability" sheetId="8" r:id="Rb94b7ad62427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#,##0;[Red](#,##0);-"/>
    <x:numFmt numFmtId="201" formatCode="0.0%"/>
    <x:numFmt numFmtId="202" formatCode="&quot;Rp&quot; #,##0;[Red](&quot;Rp&quot; #,##0);-"/>
    <x:numFmt numFmtId="203" formatCode="mmm yyyy"/>
    <x:numFmt numFmtId="204" formatCode="yyyy-mm-dd"/>
    <x:numFmt numFmtId="205" formatCode="&quot;M&quot;0"/>
  </x:numFmts>
  <x:fonts count="3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b/>
      <x:sz val="8"/>
      <x:color rgb="FFFFFFFF"/>
      <x:name val="Arial"/>
    </x:font>
    <x:font>
      <x:i/>
      <x:sz val="10"/>
      <x:color rgb="FFAAB7C6"/>
      <x:name val="Arial"/>
    </x:font>
    <x:font>
      <x:b/>
      <x:i/>
      <x:sz val="11"/>
      <x:color rgb="FFAAB7C6"/>
      <x:name val="Arial"/>
    </x:font>
    <x:font>
      <x:i/>
      <x:sz val="8"/>
      <x:color rgb="FFAAB7C6"/>
      <x:name val="Arial"/>
    </x:font>
    <x:font>
      <x:b/>
      <x:sz val="9"/>
      <x:color rgb="FF17212B"/>
      <x:name val="Arial"/>
    </x:font>
    <x:font>
      <x:b/>
      <x:sz val="9"/>
      <x:color rgb="FF15803D"/>
      <x:name val="Arial"/>
    </x:font>
    <x:font>
      <x:b/>
      <x:sz val="9"/>
      <x:color rgb="FFA16207"/>
      <x:name val="Arial"/>
    </x:font>
    <x:font>
      <x:b/>
      <x:i/>
      <x:sz val="10"/>
      <x:color rgb="FFFFFFFF"/>
      <x:name val="Arial"/>
    </x:font>
    <x:font>
      <x:sz val="11"/>
      <x:color rgb="FF17212B"/>
      <x:name val="Arial"/>
    </x:font>
    <x:font>
      <x:b/>
      <x:sz val="10"/>
      <x:color rgb="FF17212B"/>
      <x:name val="Arial"/>
    </x:font>
    <x:font>
      <x:b/>
      <x:sz val="11"/>
      <x:color rgb="FF17212B"/>
      <x:name val="Arial"/>
    </x:font>
    <x:font>
      <x:i/>
      <x:sz val="11"/>
      <x:color rgb="FFAAB7C6"/>
      <x:name val="Arial"/>
    </x:font>
    <x:font>
      <x:sz val="11"/>
      <x:color rgb="FF1D4ED8"/>
      <x:name val="Arial"/>
    </x:font>
    <x:font>
      <x:b/>
      <x:sz val="11"/>
      <x:color rgb="FF1D4ED8"/>
      <x:name val="Arial"/>
    </x:font>
    <x:font>
      <x:i/>
      <x:sz val="11"/>
      <x:color rgb="FF66727F"/>
      <x:name val="Arial"/>
    </x:font>
    <x:font>
      <x:sz val="11"/>
      <x:color rgb="FFA16207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0B1B29"/>
      </x:patternFill>
    </x:fill>
    <x:fill>
      <x:patternFill patternType="solid">
        <x:fgColor rgb="FF214C6D"/>
      </x:patternFill>
    </x:fill>
    <x:fill>
      <x:patternFill patternType="solid">
        <x:fgColor rgb="FF142C43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3F5F7"/>
      </x:patternFill>
    </x:fill>
    <x:fill>
      <x:patternFill patternType="solid">
        <x:fgColor rgb="FFFFF0C2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259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7" fillId="13" borderId="3" xfId="0" applyNumberFormat="1" applyFont="1" applyFill="1" applyBorder="1" applyAlignment="1">
      <x:alignment horizontal="left" vertical="center"/>
    </x:xf>
    <x:xf numFmtId="0" fontId="7" fillId="13" borderId="4" xfId="0" applyNumberFormat="1" applyFont="1" applyFill="1" applyBorder="1" applyAlignment="1">
      <x:alignment horizontal="left" vertical="center"/>
    </x:xf>
    <x:xf numFmtId="0" fontId="7" fillId="13" borderId="5" xfId="0" applyNumberFormat="1" applyFont="1" applyFill="1" applyBorder="1" applyAlignment="1">
      <x:alignment horizontal="left" vertical="center"/>
    </x:xf>
    <x:xf numFmtId="0" fontId="20" fillId="13" borderId="3" xfId="0" applyNumberFormat="1" applyFont="1" applyFill="1" applyBorder="1" applyAlignment="1">
      <x:alignment horizontal="left" vertical="center"/>
    </x:xf>
    <x:xf numFmtId="0" fontId="20" fillId="13" borderId="4" xfId="0" applyNumberFormat="1" applyFont="1" applyFill="1" applyBorder="1" applyAlignment="1">
      <x:alignment horizontal="left" vertical="center"/>
    </x:xf>
    <x:xf numFmtId="0" fontId="20" fillId="13" borderId="5" xfId="0" applyNumberFormat="1" applyFont="1" applyFill="1" applyBorder="1" applyAlignment="1">
      <x:alignment horizontal="left" vertical="center"/>
    </x:xf>
    <x:xf numFmtId="0" fontId="19" fillId="13" borderId="0" xfId="0" applyNumberFormat="1" applyFont="1" applyFill="1" applyBorder="1" applyAlignment="1">
      <x:alignment vertical="center"/>
    </x:xf>
    <x:xf numFmtId="164" fontId="8" fillId="13" borderId="3" xfId="0" applyNumberFormat="1" applyFont="1" applyFill="1" applyBorder="1" applyAlignment="1">
      <x:alignment horizontal="left" vertical="center"/>
    </x:xf>
    <x:xf numFmtId="164" fontId="8" fillId="13" borderId="4" xfId="0" applyNumberFormat="1" applyFont="1" applyFill="1" applyBorder="1" applyAlignment="1">
      <x:alignment horizontal="left" vertical="center"/>
    </x:xf>
    <x:xf numFmtId="164" fontId="8" fillId="13" borderId="5" xfId="0" applyNumberFormat="1" applyFont="1" applyFill="1" applyBorder="1" applyAlignment="1">
      <x:alignment horizontal="left" vertical="center"/>
    </x:xf>
    <x:xf numFmtId="0" fontId="9" fillId="13" borderId="0" xfId="0" applyNumberFormat="1" applyFont="1" applyFill="1" applyBorder="1" applyAlignment="1">
      <x:alignment horizontal="left" vertical="center"/>
    </x:xf>
    <x:xf numFmtId="0" fontId="21" fillId="13" borderId="0" xfId="0" applyNumberFormat="1" applyFont="1" applyFill="1" applyBorder="1" applyAlignment="1">
      <x:alignment vertical="center"/>
    </x:xf>
    <x:xf numFmtId="164" fontId="22" fillId="13" borderId="3" xfId="0" applyNumberFormat="1" applyFont="1" applyFill="1" applyBorder="1" applyAlignment="1">
      <x:alignment horizontal="left" vertical="center"/>
    </x:xf>
    <x:xf numFmtId="164" fontId="22" fillId="13" borderId="4" xfId="0" applyNumberFormat="1" applyFont="1" applyFill="1" applyBorder="1" applyAlignment="1">
      <x:alignment horizontal="left" vertical="center"/>
    </x:xf>
    <x:xf numFmtId="164" fontId="22" fillId="13" borderId="5" xfId="0" applyNumberFormat="1" applyFont="1" applyFill="1" applyBorder="1" applyAlignment="1">
      <x:alignment horizontal="left" vertical="center"/>
    </x:xf>
    <x:xf numFmtId="0" fontId="23" fillId="13" borderId="0" xfId="0" applyNumberFormat="1" applyFont="1" applyFill="1" applyBorder="1" applyAlignment="1">
      <x:alignment horizontal="left" vertical="center"/>
    </x:xf>
    <x:xf numFmtId="0" fontId="21" fillId="13" borderId="0" xfId="0" applyNumberFormat="1" applyFont="1" applyFill="1" applyBorder="1" applyAlignment="1">
      <x:alignment vertical="center" wrapText="1"/>
    </x:xf>
    <x:xf numFmtId="164" fontId="22" fillId="13" borderId="3" xfId="0" applyNumberFormat="1" applyFont="1" applyFill="1" applyBorder="1" applyAlignment="1">
      <x:alignment horizontal="left" vertical="center" wrapText="1"/>
    </x:xf>
    <x:xf numFmtId="164" fontId="22" fillId="13" borderId="4" xfId="0" applyNumberFormat="1" applyFont="1" applyFill="1" applyBorder="1" applyAlignment="1">
      <x:alignment horizontal="left" vertical="center" wrapText="1"/>
    </x:xf>
    <x:xf numFmtId="164" fontId="22" fillId="13" borderId="5" xfId="0" applyNumberFormat="1" applyFont="1" applyFill="1" applyBorder="1" applyAlignment="1">
      <x:alignment horizontal="left" vertical="center" wrapText="1"/>
    </x:xf>
    <x:xf numFmtId="0" fontId="23" fillId="13" borderId="0" xfId="0" applyNumberFormat="1" applyFont="1" applyFill="1" applyBorder="1" applyAlignment="1">
      <x:alignment horizontal="left" vertical="center" wrapText="1"/>
    </x:xf>
    <x:xf numFmtId="165" fontId="11" fillId="10" borderId="0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Border="1" applyAlignment="1">
      <x:alignment horizontal="left" vertical="center"/>
    </x:xf>
    <x:xf numFmtId="200" fontId="11" fillId="10" borderId="9" xfId="0" applyNumberFormat="1" applyFont="1" applyFill="1" applyBorder="1" applyAlignment="1">
      <x:alignment horizontal="left" vertical="center"/>
    </x:xf>
    <x:xf numFmtId="201" fontId="11" fillId="10" borderId="9" xfId="0" applyNumberFormat="1" applyFont="1" applyFill="1" applyBorder="1" applyAlignment="1">
      <x:alignment horizontal="left" vertical="center"/>
    </x:xf>
    <x:xf numFmtId="201" fontId="11" fillId="10" borderId="0" xfId="0" applyNumberFormat="1" applyFont="1" applyFill="1" applyBorder="1" applyAlignment="1">
      <x:alignment horizontal="left" vertical="center"/>
    </x:xf>
    <x:xf numFmtId="201" fontId="11" fillId="10" borderId="10" xfId="0" applyNumberFormat="1" applyFont="1" applyFill="1" applyBorder="1" applyAlignment="1">
      <x:alignment horizontal="left" vertical="center"/>
    </x:xf>
    <x:xf numFmtId="202" fontId="11" fillId="10" borderId="9" xfId="0" applyNumberFormat="1" applyFont="1" applyFill="1" applyBorder="1" applyAlignment="1">
      <x:alignment horizontal="left" vertical="center"/>
    </x:xf>
    <x:xf numFmtId="202" fontId="11" fillId="10" borderId="0" xfId="0" applyNumberFormat="1" applyFont="1" applyFill="1" applyBorder="1" applyAlignment="1">
      <x:alignment horizontal="left" vertical="center"/>
    </x:xf>
    <x:xf numFmtId="202" fontId="11" fillId="10" borderId="10" xfId="0" applyNumberFormat="1" applyFont="1" applyFill="1" applyBorder="1" applyAlignment="1">
      <x:alignment horizontal="left" vertical="center"/>
    </x:xf>
    <x:xf numFmtId="0" fontId="3" fillId="14" borderId="0" xfId="0" applyNumberFormat="1" applyFont="1" applyFill="1" applyBorder="1" applyAlignment="1">
      <x:alignment horizontal="left" vertical="center"/>
    </x:xf>
    <x:xf numFmtId="0" fontId="5" fillId="15" borderId="1" xfId="0" applyNumberFormat="1" applyFont="1" applyFill="1" applyBorder="1" applyAlignment="1">
      <x:alignment horizontal="center" vertical="center" wrapText="1"/>
    </x:xf>
    <x:xf numFmtId="0" fontId="24" fillId="10" borderId="1" xfId="0" applyNumberFormat="1" applyFont="1" applyFill="1" applyBorder="1" applyAlignment="1">
      <x:alignment horizontal="left" vertical="center"/>
    </x:xf>
    <x:xf numFmtId="0" fontId="4" fillId="10" borderId="1" xfId="0" applyNumberFormat="1" applyFont="1" applyFill="1" applyBorder="1" applyAlignment="1">
      <x:alignment horizontal="center" vertical="center"/>
    </x:xf>
    <x:xf numFmtId="165" fontId="4" fillId="10" borderId="1" xfId="0" applyNumberFormat="1" applyFont="1" applyFill="1" applyBorder="1" applyAlignment="1">
      <x:alignment horizontal="right" vertical="center"/>
    </x:xf>
    <x:xf numFmtId="166" fontId="4" fillId="10" borderId="1" xfId="0" applyNumberFormat="1" applyFont="1" applyFill="1" applyBorder="1" applyAlignment="1">
      <x:alignment horizontal="right" vertical="center"/>
    </x:xf>
    <x:xf numFmtId="0" fontId="24" fillId="15" borderId="1" xfId="0" applyNumberFormat="1" applyFont="1" applyFill="1" applyBorder="1" applyAlignment="1">
      <x:alignment horizontal="left" vertical="center"/>
    </x:xf>
    <x:xf numFmtId="0" fontId="4" fillId="15" borderId="1" xfId="0" applyNumberFormat="1" applyFont="1" applyFill="1" applyBorder="1" applyAlignment="1">
      <x:alignment horizontal="center" vertical="center"/>
    </x:xf>
    <x:xf numFmtId="165" fontId="4" fillId="15" borderId="1" xfId="0" applyNumberFormat="1" applyFont="1" applyFill="1" applyBorder="1" applyAlignment="1">
      <x:alignment horizontal="right" vertical="center"/>
    </x:xf>
    <x:xf numFmtId="166" fontId="4" fillId="15" borderId="1" xfId="0" applyNumberFormat="1" applyFont="1" applyFill="1" applyBorder="1" applyAlignment="1">
      <x:alignment horizontal="right" vertical="center"/>
    </x:xf>
    <x:xf numFmtId="0" fontId="5" fillId="15" borderId="1" xfId="0" applyNumberFormat="1" applyFont="1" applyFill="1" applyBorder="1" applyAlignment="1">
      <x:alignment horizontal="left" vertical="center"/>
    </x:xf>
    <x:xf numFmtId="0" fontId="6" fillId="15" borderId="1" xfId="0" applyNumberFormat="1" applyFont="1" applyFill="1" applyBorder="1" applyAlignment="1">
      <x:alignment horizontal="center" vertical="center"/>
    </x:xf>
    <x:xf numFmtId="165" fontId="6" fillId="15" borderId="1" xfId="0" applyNumberFormat="1" applyFont="1" applyFill="1" applyBorder="1" applyAlignment="1">
      <x:alignment horizontal="right" vertical="center"/>
    </x:xf>
    <x:xf numFmtId="166" fontId="6" fillId="15" borderId="1" xfId="0" applyNumberFormat="1" applyFont="1" applyFill="1" applyBorder="1" applyAlignment="1">
      <x:alignment horizontal="right" vertical="center"/>
    </x:xf>
    <x:xf numFmtId="200" fontId="6" fillId="15" borderId="1" xfId="0" applyNumberFormat="1" applyFont="1" applyFill="1" applyBorder="1" applyAlignment="1">
      <x:alignment horizontal="right" vertical="center"/>
    </x:xf>
    <x:xf numFmtId="201" fontId="6" fillId="15" borderId="1" xfId="0" applyNumberFormat="1" applyFont="1" applyFill="1" applyBorder="1" applyAlignment="1">
      <x:alignment horizontal="right" vertical="center"/>
    </x:xf>
    <x:xf numFmtId="165" fontId="6" fillId="16" borderId="1" xfId="0" applyNumberFormat="1" applyFont="1" applyFill="1" applyBorder="1" applyAlignment="1">
      <x:alignment horizontal="right" vertical="center"/>
    </x:xf>
    <x:xf numFmtId="166" fontId="6" fillId="16" borderId="1" xfId="0" applyNumberFormat="1" applyFont="1" applyFill="1" applyBorder="1" applyAlignment="1">
      <x:alignment horizontal="right" vertical="center"/>
    </x:xf>
    <x:xf numFmtId="165" fontId="25" fillId="16" borderId="1" xfId="0" applyNumberFormat="1" applyFont="1" applyFill="1" applyBorder="1" applyAlignment="1">
      <x:alignment horizontal="right" vertical="center"/>
    </x:xf>
    <x:xf numFmtId="166" fontId="25" fillId="16" borderId="1" xfId="0" applyNumberFormat="1" applyFont="1" applyFill="1" applyBorder="1" applyAlignment="1">
      <x:alignment horizontal="right" vertical="center"/>
    </x:xf>
    <x:xf numFmtId="166" fontId="6" fillId="17" borderId="1" xfId="0" applyNumberFormat="1" applyFont="1" applyFill="1" applyBorder="1" applyAlignment="1">
      <x:alignment horizontal="right" vertical="center"/>
    </x:xf>
    <x:xf numFmtId="166" fontId="26" fillId="17" borderId="1" xfId="0" applyNumberFormat="1" applyFont="1" applyFill="1" applyBorder="1" applyAlignment="1">
      <x:alignment horizontal="right" vertical="center"/>
    </x:xf>
    <x:xf numFmtId="0" fontId="2" fillId="13" borderId="0" xfId="0" applyNumberFormat="1" applyFont="1" applyFill="1" applyBorder="1" applyAlignment="1">
      <x:alignment vertical="center"/>
    </x:xf>
    <x:xf numFmtId="0" fontId="27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horizontal="left" vertical="center"/>
    </x:xf>
    <x:xf numFmtId="0" fontId="4" fillId="18" borderId="1" xfId="0" applyNumberFormat="1" applyFont="1" applyFill="1" applyBorder="1" applyAlignment="1">
      <x:alignment horizontal="left" vertical="center" wrapText="1"/>
    </x:xf>
    <x:xf numFmtId="0" fontId="5" fillId="15" borderId="1" xfId="0" applyNumberFormat="1" applyFont="1" applyFill="1" applyBorder="1" applyAlignment="1">
      <x:alignment horizontal="left" vertical="center" wrapText="1"/>
    </x:xf>
    <x:xf numFmtId="164" fontId="18" fillId="15" borderId="2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 applyAlignment="1">
      <x:alignment vertical="center"/>
    </x:xf>
    <x:xf numFmtId="164" fontId="5" fillId="15" borderId="2" xfId="0" applyNumberFormat="1" applyFont="1" applyFill="1" applyBorder="1" applyAlignment="1">
      <x:alignment horizontal="left" vertical="center"/>
    </x:xf>
    <x:xf numFmtId="0" fontId="8" fillId="15" borderId="0" xfId="0" applyNumberFormat="1" applyFont="1" applyFill="1" applyBorder="1" applyAlignment="1">
      <x:alignment vertical="center"/>
    </x:xf>
    <x:xf numFmtId="164" fontId="5" fillId="15" borderId="1" xfId="0" applyNumberFormat="1" applyFont="1" applyFill="1" applyBorder="1" applyAlignment="1">
      <x:alignment horizontal="left" vertical="center"/>
    </x:xf>
    <x:xf numFmtId="0" fontId="8" fillId="15" borderId="1" xfId="0" applyNumberFormat="1" applyFont="1" applyFill="1" applyBorder="1" applyAlignment="1">
      <x:alignment vertical="center"/>
    </x:xf>
    <x:xf numFmtId="164" fontId="5" fillId="15" borderId="1" xfId="0" applyNumberFormat="1" applyFont="1" applyFill="1" applyBorder="1" applyAlignment="1">
      <x:alignment horizontal="left" vertical="center" wrapText="1"/>
    </x:xf>
    <x:xf numFmtId="0" fontId="8" fillId="15" borderId="1" xfId="0" applyNumberFormat="1" applyFont="1" applyFill="1" applyBorder="1" applyAlignment="1">
      <x:alignment vertical="center" wrapText="1"/>
    </x:xf>
    <x:xf numFmtId="164" fontId="5" fillId="15" borderId="1" xfId="0" applyNumberFormat="1" applyFont="1" applyFill="1" applyBorder="1" applyAlignment="1">
      <x:alignment horizontal="center" vertical="center" wrapText="1"/>
    </x:xf>
    <x:xf numFmtId="0" fontId="8" fillId="15" borderId="1" xfId="0" applyNumberFormat="1" applyFont="1" applyFill="1" applyBorder="1" applyAlignment="1">
      <x:alignment horizontal="center" vertical="center" wrapText="1"/>
    </x:xf>
    <x:xf numFmtId="0" fontId="24" fillId="3" borderId="1" xfId="0" applyNumberFormat="1" applyFont="1" applyFill="1" applyBorder="1" applyAlignment="1">
      <x:alignment horizontal="left" vertical="center" wrapText="1"/>
    </x:xf>
    <x:xf numFmtId="164" fontId="24" fillId="6" borderId="1" xfId="0" applyNumberFormat="1" applyFont="1" applyFill="1" applyBorder="1" applyAlignment="1">
      <x:alignment horizontal="left" vertical="center"/>
    </x:xf>
    <x:xf numFmtId="0" fontId="28" fillId="0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29" fillId="7" borderId="0" xfId="0" applyNumberFormat="1" applyFont="1" applyFill="1" applyBorder="1" applyAlignment="1">
      <x:alignment horizontal="left" vertical="center"/>
    </x:xf>
    <x:xf numFmtId="0" fontId="24" fillId="2" borderId="1" xfId="0" applyNumberFormat="1" applyFont="1" applyFill="1" applyBorder="1" applyAlignment="1">
      <x:alignment horizontal="center" vertical="center" wrapText="1"/>
    </x:xf>
    <x:xf numFmtId="0" fontId="28" fillId="0" borderId="1" xfId="0" applyNumberFormat="1" applyFont="1" applyFill="1" applyBorder="1" applyAlignment="1">
      <x:alignment vertical="center"/>
    </x:xf>
    <x:xf numFmtId="0" fontId="29" fillId="7" borderId="1" xfId="0" applyNumberFormat="1" applyFont="1" applyFill="1" applyBorder="1" applyAlignment="1">
      <x:alignment horizontal="left" vertical="center"/>
    </x:xf>
    <x:xf numFmtId="0" fontId="30" fillId="0" borderId="1" xfId="0" applyNumberFormat="1" applyFont="1" applyFill="1" applyBorder="1" applyAlignment="1">
      <x:alignment vertical="center"/>
    </x:xf>
    <x:xf numFmtId="164" fontId="24" fillId="6" borderId="1" xfId="0" applyNumberFormat="1" applyFont="1" applyFill="1" applyBorder="1" applyAlignment="1">
      <x:alignment horizontal="left" vertical="center" wrapText="1"/>
    </x:xf>
    <x:xf numFmtId="0" fontId="28" fillId="0" borderId="1" xfId="0" applyNumberFormat="1" applyFont="1" applyFill="1" applyBorder="1" applyAlignment="1">
      <x:alignment vertical="center" wrapText="1"/>
    </x:xf>
    <x:xf numFmtId="0" fontId="30" fillId="0" borderId="1" xfId="0" applyNumberFormat="1" applyFont="1" applyFill="1" applyBorder="1" applyAlignment="1">
      <x:alignment vertical="center" wrapText="1"/>
    </x:xf>
    <x:xf numFmtId="0" fontId="29" fillId="7" borderId="1" xfId="0" applyNumberFormat="1" applyFont="1" applyFill="1" applyBorder="1" applyAlignment="1">
      <x:alignment horizontal="left" vertical="center" wrapText="1"/>
    </x:xf>
    <x:xf numFmtId="164" fontId="18" fillId="14" borderId="2" xfId="0" applyNumberFormat="1" applyFont="1" applyFill="1" applyBorder="1" applyAlignment="1">
      <x:alignment horizontal="right" vertical="center"/>
    </x:xf>
    <x:xf numFmtId="165" fontId="18" fillId="14" borderId="2" xfId="0" applyNumberFormat="1" applyFont="1" applyFill="1" applyBorder="1" applyAlignment="1">
      <x:alignment horizontal="right" vertical="center"/>
    </x:xf>
    <x:xf numFmtId="166" fontId="18" fillId="14" borderId="2" xfId="0" applyNumberFormat="1" applyFont="1" applyFill="1" applyBorder="1" applyAlignment="1">
      <x:alignment horizontal="right" vertical="center"/>
    </x:xf>
    <x:xf numFmtId="167" fontId="18" fillId="14" borderId="2" xfId="0" applyNumberFormat="1" applyFont="1" applyFill="1" applyBorder="1" applyAlignment="1">
      <x:alignment horizontal="right" vertical="center"/>
    </x:xf>
    <x:xf numFmtId="168" fontId="18" fillId="14" borderId="2" xfId="0" applyNumberFormat="1" applyFont="1" applyFill="1" applyBorder="1" applyAlignment="1">
      <x:alignment horizontal="right" vertical="center"/>
    </x:xf>
    <x:xf numFmtId="164" fontId="5" fillId="14" borderId="2" xfId="0" applyNumberFormat="1" applyFont="1" applyFill="1" applyBorder="1" applyAlignment="1">
      <x:alignment horizontal="right" vertical="center"/>
    </x:xf>
    <x:xf numFmtId="165" fontId="5" fillId="14" borderId="2" xfId="0" applyNumberFormat="1" applyFont="1" applyFill="1" applyBorder="1" applyAlignment="1">
      <x:alignment horizontal="right" vertical="center"/>
    </x:xf>
    <x:xf numFmtId="166" fontId="5" fillId="14" borderId="2" xfId="0" applyNumberFormat="1" applyFont="1" applyFill="1" applyBorder="1" applyAlignment="1">
      <x:alignment horizontal="right" vertical="center"/>
    </x:xf>
    <x:xf numFmtId="167" fontId="5" fillId="14" borderId="2" xfId="0" applyNumberFormat="1" applyFont="1" applyFill="1" applyBorder="1" applyAlignment="1">
      <x:alignment horizontal="right" vertical="center"/>
    </x:xf>
    <x:xf numFmtId="168" fontId="5" fillId="14" borderId="2" xfId="0" applyNumberFormat="1" applyFont="1" applyFill="1" applyBorder="1" applyAlignment="1">
      <x:alignment horizontal="right" vertical="center"/>
    </x:xf>
    <x:xf numFmtId="164" fontId="18" fillId="18" borderId="2" xfId="0" applyNumberFormat="1" applyFont="1" applyFill="1" applyBorder="1" applyAlignment="1">
      <x:alignment horizontal="right" vertical="center"/>
    </x:xf>
    <x:xf numFmtId="165" fontId="18" fillId="18" borderId="2" xfId="0" applyNumberFormat="1" applyFont="1" applyFill="1" applyBorder="1" applyAlignment="1">
      <x:alignment horizontal="right" vertical="center"/>
    </x:xf>
    <x:xf numFmtId="164" fontId="4" fillId="18" borderId="2" xfId="0" applyNumberFormat="1" applyFont="1" applyFill="1" applyBorder="1" applyAlignment="1">
      <x:alignment horizontal="right" vertical="center"/>
    </x:xf>
    <x:xf numFmtId="165" fontId="4" fillId="18" borderId="2" xfId="0" applyNumberFormat="1" applyFont="1" applyFill="1" applyBorder="1" applyAlignment="1">
      <x:alignment horizontal="right" vertical="center"/>
    </x:xf>
    <x:xf numFmtId="164" fontId="4" fillId="18" borderId="1" xfId="0" applyNumberFormat="1" applyFont="1" applyFill="1" applyBorder="1" applyAlignment="1">
      <x:alignment horizontal="right" vertical="center"/>
    </x:xf>
    <x:xf numFmtId="165" fontId="4" fillId="18" borderId="1" xfId="0" applyNumberFormat="1" applyFont="1" applyFill="1" applyBorder="1" applyAlignment="1">
      <x:alignment horizontal="right" vertical="center"/>
    </x:xf>
    <x:xf numFmtId="164" fontId="4" fillId="18" borderId="1" xfId="0" applyNumberFormat="1" applyFont="1" applyFill="1" applyBorder="1" applyAlignment="1">
      <x:alignment horizontal="right" vertical="center" wrapText="1"/>
    </x:xf>
    <x:xf numFmtId="165" fontId="4" fillId="18" borderId="1" xfId="0" applyNumberFormat="1" applyFont="1" applyFill="1" applyBorder="1" applyAlignment="1">
      <x:alignment horizontal="right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vertical="center"/>
    </x:xf>
    <x:xf numFmtId="0" fontId="31" fillId="13" borderId="0" xfId="0" applyNumberFormat="1" applyFont="1" applyFill="1" applyBorder="1"/>
    <x:xf numFmtId="0" fontId="31" fillId="13" borderId="0" xfId="0" applyNumberFormat="1" applyFont="1" applyFill="1" applyBorder="1" applyAlignment="1">
      <x:alignment vertical="center"/>
    </x:xf>
    <x:xf numFmtId="0" fontId="31" fillId="13" borderId="0" xfId="0" applyNumberFormat="1" applyFont="1" applyFill="1" applyBorder="1" applyAlignment="1">
      <x:alignment wrapText="1"/>
    </x:xf>
    <x:xf numFmtId="0" fontId="31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1" xfId="0" applyNumberFormat="1" applyFont="1" applyFill="1" applyBorder="1"/>
    <x:xf numFmtId="0" fontId="8" fillId="15" borderId="1" xfId="0" applyNumberFormat="1" applyFont="1" applyFill="1" applyBorder="1" applyAlignment="1">
      <x:alignment wrapText="1"/>
    </x:xf>
    <x:xf numFmtId="0" fontId="8" fillId="15" borderId="1" xfId="0" applyNumberFormat="1" applyFont="1" applyFill="1" applyBorder="1" applyAlignment="1">
      <x:alignment horizontal="center" wrapText="1"/>
    </x:xf>
    <x:xf numFmtId="0" fontId="28" fillId="0" borderId="0" xfId="0" applyNumberFormat="1" applyFont="1" applyFill="1" applyBorder="1"/>
    <x:xf numFmtId="0" fontId="28" fillId="0" borderId="1" xfId="0" applyNumberFormat="1" applyFont="1" applyFill="1" applyBorder="1"/>
    <x:xf numFmtId="0" fontId="30" fillId="0" borderId="1" xfId="0" applyNumberFormat="1" applyFont="1" applyFill="1" applyBorder="1" applyAlignment="1">
      <x:alignment horizontal="center" vertical="center"/>
    </x:xf>
    <x:xf numFmtId="0" fontId="3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28" fillId="18" borderId="0" xfId="0" applyNumberFormat="1" applyFont="1" applyFill="1" applyBorder="1"/>
    <x:xf numFmtId="0" fontId="28" fillId="18" borderId="0" xfId="0" applyNumberFormat="1" applyFont="1" applyFill="1" applyBorder="1" applyAlignment="1">
      <x:alignment wrapText="1"/>
    </x:xf>
    <x:xf numFmtId="0" fontId="28" fillId="19" borderId="1" xfId="0" applyNumberFormat="1" applyFont="1" applyFill="1" applyBorder="1" applyAlignment="1">
      <x:alignment vertical="center"/>
    </x:xf>
    <x:xf numFmtId="0" fontId="32" fillId="19" borderId="1" xfId="0" applyNumberFormat="1" applyFont="1" applyFill="1" applyBorder="1" applyAlignment="1">
      <x:alignment vertical="center"/>
    </x:xf>
    <x:xf numFmtId="0" fontId="28" fillId="18" borderId="1" xfId="0" applyNumberFormat="1" applyFont="1" applyFill="1" applyBorder="1" applyAlignment="1">
      <x:alignment vertical="center"/>
    </x:xf>
    <x:xf numFmtId="203" fontId="32" fillId="19" borderId="1" xfId="0" applyNumberFormat="1" applyFont="1" applyFill="1" applyBorder="1" applyAlignment="1">
      <x:alignment vertical="center"/>
    </x:xf>
    <x:xf numFmtId="200" fontId="32" fillId="19" borderId="1" xfId="0" applyNumberFormat="1" applyFont="1" applyFill="1" applyBorder="1" applyAlignment="1">
      <x:alignment vertical="center"/>
    </x:xf>
    <x:xf numFmtId="202" fontId="32" fillId="19" borderId="1" xfId="0" applyNumberFormat="1" applyFont="1" applyFill="1" applyBorder="1" applyAlignment="1">
      <x:alignment vertical="center"/>
    </x:xf>
    <x:xf numFmtId="202" fontId="28" fillId="18" borderId="1" xfId="0" applyNumberFormat="1" applyFont="1" applyFill="1" applyBorder="1" applyAlignment="1">
      <x:alignment vertical="center"/>
    </x:xf>
    <x:xf numFmtId="0" fontId="8" fillId="19" borderId="1" xfId="0" applyNumberFormat="1" applyFont="1" applyFill="1" applyBorder="1" applyAlignment="1">
      <x:alignment horizontal="center" vertical="center" wrapText="1"/>
    </x:xf>
    <x:xf numFmtId="0" fontId="33" fillId="19" borderId="1" xfId="0" applyNumberFormat="1" applyFont="1" applyFill="1" applyBorder="1" applyAlignment="1">
      <x:alignment horizontal="center" vertical="center" wrapText="1"/>
    </x:xf>
    <x:xf numFmtId="204" fontId="33" fillId="19" borderId="1" xfId="0" applyNumberFormat="1" applyFont="1" applyFill="1" applyBorder="1" applyAlignment="1">
      <x:alignment horizontal="center" vertical="center" wrapText="1"/>
    </x:xf>
    <x:xf numFmtId="0" fontId="8" fillId="18" borderId="1" xfId="0" applyNumberFormat="1" applyFont="1" applyFill="1" applyBorder="1"/>
    <x:xf numFmtId="0" fontId="30" fillId="18" borderId="1" xfId="0" applyNumberFormat="1" applyFont="1" applyFill="1" applyBorder="1"/>
    <x:xf numFmtId="203" fontId="30" fillId="18" borderId="1" xfId="0" applyNumberFormat="1" applyFont="1" applyFill="1" applyBorder="1"/>
    <x:xf numFmtId="201" fontId="30" fillId="18" borderId="1" xfId="0" applyNumberFormat="1" applyFont="1" applyFill="1" applyBorder="1"/>
    <x:xf numFmtId="200" fontId="30" fillId="18" borderId="1" xfId="0" applyNumberFormat="1" applyFont="1" applyFill="1" applyBorder="1"/>
    <x:xf numFmtId="0" fontId="34" fillId="18" borderId="0" xfId="0" applyNumberFormat="1" applyFont="1" applyFill="1" applyBorder="1"/>
    <x:xf numFmtId="0" fontId="34" fillId="18" borderId="0" xfId="0" applyNumberFormat="1" applyFont="1" applyFill="1" applyBorder="1" applyAlignment="1">
      <x:alignment wrapText="1"/>
    </x:xf>
    <x:xf numFmtId="205" fontId="8" fillId="15" borderId="1" xfId="0" applyNumberFormat="1" applyFont="1" applyFill="1" applyBorder="1" applyAlignment="1">
      <x:alignment horizontal="center" vertical="center" wrapText="1"/>
    </x:xf>
    <x:xf numFmtId="0" fontId="30" fillId="18" borderId="1" xfId="0" applyNumberFormat="1" applyFont="1" applyFill="1" applyBorder="1" applyAlignment="1">
      <x:alignment vertical="center"/>
    </x:xf>
    <x:xf numFmtId="203" fontId="30" fillId="18" borderId="1" xfId="0" applyNumberFormat="1" applyFont="1" applyFill="1" applyBorder="1" applyAlignment="1">
      <x:alignment vertical="center"/>
    </x:xf>
    <x:xf numFmtId="200" fontId="28" fillId="18" borderId="1" xfId="0" applyNumberFormat="1" applyFont="1" applyFill="1" applyBorder="1" applyAlignment="1">
      <x:alignment vertical="center"/>
    </x:xf>
    <x:xf numFmtId="200" fontId="28" fillId="18" borderId="1" xfId="0" applyNumberFormat="1" applyFont="1" applyFill="1" applyBorder="1" applyAlignment="1">
      <x:alignment horizontal="right" vertical="center"/>
    </x:xf>
    <x:xf numFmtId="0" fontId="28" fillId="20" borderId="1" xfId="0" applyNumberFormat="1" applyFont="1" applyFill="1" applyBorder="1" applyAlignment="1">
      <x:alignment vertical="center"/>
    </x:xf>
    <x:xf numFmtId="201" fontId="28" fillId="20" borderId="1" xfId="0" applyNumberFormat="1" applyFont="1" applyFill="1" applyBorder="1" applyAlignment="1">
      <x:alignment vertical="center"/>
    </x:xf>
    <x:xf numFmtId="201" fontId="28" fillId="20" borderId="1" xfId="0" applyNumberFormat="1" applyFont="1" applyFill="1" applyBorder="1" applyAlignment="1">
      <x:alignment horizontal="right" vertical="center"/>
    </x:xf>
    <x:xf numFmtId="0" fontId="30" fillId="18" borderId="0" xfId="0" applyNumberFormat="1" applyFont="1" applyFill="1" applyBorder="1"/>
    <x:xf numFmtId="0" fontId="30" fillId="19" borderId="1" xfId="0" applyNumberFormat="1" applyFont="1" applyFill="1" applyBorder="1"/>
    <x:xf numFmtId="0" fontId="33" fillId="19" borderId="1" xfId="0" applyNumberFormat="1" applyFont="1" applyFill="1" applyBorder="1"/>
    <x:xf numFmtId="203" fontId="28" fillId="18" borderId="1" xfId="0" applyNumberFormat="1" applyFont="1" applyFill="1" applyBorder="1" applyAlignment="1">
      <x:alignment vertical="center"/>
    </x:xf>
    <x:xf numFmtId="200" fontId="28" fillId="20" borderId="1" xfId="0" applyNumberFormat="1" applyFont="1" applyFill="1" applyBorder="1" applyAlignment="1">
      <x:alignment vertical="center"/>
    </x:xf>
    <x:xf numFmtId="200" fontId="28" fillId="20" borderId="1" xfId="0" applyNumberFormat="1" applyFont="1" applyFill="1" applyBorder="1" applyAlignment="1">
      <x:alignment horizontal="right" vertical="center"/>
    </x:xf>
    <x:xf numFmtId="200" fontId="28" fillId="0" borderId="1" xfId="0" applyNumberFormat="1" applyFont="1" applyFill="1" applyBorder="1" applyAlignment="1">
      <x:alignment vertical="center"/>
    </x:xf>
    <x:xf numFmtId="200" fontId="28" fillId="0" borderId="1" xfId="0" applyNumberFormat="1" applyFont="1" applyFill="1" applyBorder="1" applyAlignment="1">
      <x:alignment horizontal="right" vertical="center"/>
    </x:xf>
    <x:xf numFmtId="202" fontId="28" fillId="0" borderId="1" xfId="0" applyNumberFormat="1" applyFont="1" applyFill="1" applyBorder="1" applyAlignment="1">
      <x:alignment vertical="center"/>
    </x:xf>
    <x:xf numFmtId="202" fontId="28" fillId="0" borderId="1" xfId="0" applyNumberFormat="1" applyFont="1" applyFill="1" applyBorder="1" applyAlignment="1">
      <x:alignment horizontal="right" vertical="center"/>
    </x:xf>
    <x:xf numFmtId="201" fontId="28" fillId="0" borderId="1" xfId="0" applyNumberFormat="1" applyFont="1" applyFill="1" applyBorder="1" applyAlignment="1">
      <x:alignment vertical="center"/>
    </x:xf>
    <x:xf numFmtId="201" fontId="28" fillId="0" borderId="1" xfId="0" applyNumberFormat="1" applyFont="1" applyFill="1" applyBorder="1" applyAlignment="1">
      <x:alignment horizontal="right" vertical="center"/>
    </x:xf>
    <x:xf numFmtId="0" fontId="28" fillId="17" borderId="1" xfId="0" applyNumberFormat="1" applyFont="1" applyFill="1" applyBorder="1" applyAlignment="1">
      <x:alignment vertical="center"/>
    </x:xf>
    <x:xf numFmtId="0" fontId="35" fillId="17" borderId="1" xfId="0" applyNumberFormat="1" applyFont="1" applyFill="1" applyBorder="1" applyAlignment="1">
      <x:alignment vertical="center"/>
    </x:xf>
    <x:xf numFmtId="202" fontId="35" fillId="17" borderId="1" xfId="0" applyNumberFormat="1" applyFont="1" applyFill="1" applyBorder="1" applyAlignment="1">
      <x:alignment vertical="center"/>
    </x:xf>
    <x:xf numFmtId="202" fontId="35" fillId="17" borderId="1" xfId="0" applyNumberFormat="1" applyFont="1" applyFill="1" applyBorder="1" applyAlignment="1">
      <x:alignment horizontal="right" vertical="center"/>
    </x:xf>
    <x:xf numFmtId="0" fontId="4" fillId="15" borderId="1" xfId="0" applyNumberFormat="1" applyFont="1" applyFill="1" applyBorder="1" applyAlignment="1">
      <x:alignment horizontal="left" vertical="center"/>
    </x:xf>
    <x:xf numFmtId="0" fontId="4" fillId="6" borderId="1" xfId="0" applyNumberFormat="1" applyFont="1" applyFill="1" applyBorder="1" applyAlignment="1">
      <x:alignment horizontal="left" vertical="center"/>
    </x:xf>
    <x:xf numFmtId="201" fontId="4" fillId="6" borderId="1" xfId="0" applyNumberFormat="1" applyFont="1" applyFill="1" applyBorder="1" applyAlignment="1">
      <x:alignment horizontal="left" vertical="center"/>
    </x:xf>
    <x:xf numFmtId="200" fontId="4" fillId="6" borderId="1" xfId="0" applyNumberFormat="1" applyFont="1" applyFill="1" applyBorder="1" applyAlignment="1">
      <x:alignment horizontal="left" vertical="center"/>
    </x:xf>
    <x:xf numFmtId="202" fontId="4" fillId="6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791e4a3ff47bd" /><Relationship Type="http://schemas.openxmlformats.org/officeDocument/2006/relationships/theme" Target="/xl/theme/theme1.xml" Id="R7fece433c6cf40c4" /><Relationship Type="http://schemas.openxmlformats.org/officeDocument/2006/relationships/sharedStrings" Target="/xl/sharedStrings.xml" Id="Rb72d6ad3031e421a" /><Relationship Type="http://schemas.openxmlformats.org/officeDocument/2006/relationships/worksheet" Target="/xl/worksheets/sheet1.xml" Id="R99b9ca869f1d4e25" /><Relationship Type="http://schemas.openxmlformats.org/officeDocument/2006/relationships/worksheet" Target="/xl/worksheets/sheet2.xml" Id="R514ff2fe08dc4c69" /><Relationship Type="http://schemas.openxmlformats.org/officeDocument/2006/relationships/worksheet" Target="/xl/worksheets/sheet3.xml" Id="R165b30ee1eec4bae" /><Relationship Type="http://schemas.openxmlformats.org/officeDocument/2006/relationships/worksheet" Target="/xl/worksheets/sheet4.xml" Id="R9d966dcd90dc478a" /><Relationship Type="http://schemas.openxmlformats.org/officeDocument/2006/relationships/worksheet" Target="/xl/worksheets/sheet5.xml" Id="R86d783ad8fd44761" /><Relationship Type="http://schemas.openxmlformats.org/officeDocument/2006/relationships/worksheet" Target="/xl/worksheets/sheet6.xml" Id="Rb7c5ff4c972a4f43" /><Relationship Type="http://schemas.openxmlformats.org/officeDocument/2006/relationships/worksheet" Target="/xl/worksheets/sheet7.xml" Id="Ra2156fe6d6c44037" /><Relationship Type="http://schemas.openxmlformats.org/officeDocument/2006/relationships/worksheet" Target="/xl/worksheets/sheet8.xml" Id="Rb94b7ad624274c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c0a93ae8f84022" /><Relationship Type="http://schemas.openxmlformats.org/officeDocument/2006/relationships/chart" Target="/xl/drawings/charts/chart2.xml" Id="R9cc9b1c568244a8c" /><Relationship Type="http://schemas.openxmlformats.org/officeDocument/2006/relationships/chart" Target="/xl/drawings/charts/chart3.xml" Id="R7d06f9d9a9e04524" /><Relationship Type="http://schemas.openxmlformats.org/officeDocument/2006/relationships/chart" Target="/xl/drawings/charts/chart4.xml" Id="Re0df71b32e6248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retention by cohort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Retention</c:v>
          </c:tx>
          <c:marker>
            <c:symbol val="none"/>
          </c:marker>
          <c:cat>
            <c:strRef>
              <c:f>'_Chart Helpers'!$A$2:$A$7</c:f>
              <c:strCache>
                <c:ptCount val="0"/>
              </c:strCache>
            </c:strRef>
          </c:cat>
          <c:val>
            <c:numRef>
              <c:f>'_Chart Helpers'!$B$2:$B$7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Retention</c:v>
          </c:tx>
          <c:marker>
            <c:symbol val="none"/>
          </c:marker>
          <c:cat>
            <c:strRef>
              <c:f>'_Chart Helpers'!$A$2:$A$7</c:f>
              <c:strCache>
                <c:ptCount val="0"/>
              </c:strCache>
            </c:strRef>
          </c:cat>
          <c:val>
            <c:numRef>
              <c:f>'_Chart Helpers'!$C$2:$C$7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 cohort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'_Chart Helpers'!$F$2:$F$5</c:f>
              <c:strCache>
                <c:ptCount val="0"/>
              </c:strCache>
            </c:strRef>
          </c:cat>
          <c:val>
            <c:numRef>
              <c:f>'_Chart Helpers'!$G$2:$G$5</c:f>
              <c:numCache>
                <c:formatCode>"Rp" #,##0;[Red]("Rp" 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p&quot;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cohort sizes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'_Chart Helpers'!$I$2:$I$7</c:f>
              <c:strCache>
                <c:ptCount val="0"/>
              </c:strCache>
            </c:strRef>
          </c:cat>
          <c:val>
            <c:numRef>
              <c:f>'_Chart Helpers'!$J$2:$J$7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Gross profit mix by category</a:t>
            </a:r>
          </a:p>
        </c:rich>
      </c:tx>
      <c:overlay val="0"/>
    </c:title>
    <c:plotArea>
      <c:pieChart>
        <c:ser>
          <c:idx val="0"/>
          <c:order val="0"/>
          <c:tx>
            <c:v>Gross Profit</c:v>
          </c:tx>
          <c:cat>
            <c:strRef>
              <c:f>'_Chart Helpers'!$L$2:$L$3</c:f>
              <c:strCache>
                <c:ptCount val="0"/>
              </c:strCache>
            </c:strRef>
          </c:cat>
          <c:val>
            <c:numRef>
              <c:f>'_Chart Helpers'!$M$2:$M$3</c:f>
              <c:numCache>
                <c:formatCode>"Rp" #,##0;[Red]("Rp" #,##0);-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c0a93ae8f84022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c9b1c568244a8c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06f9d9a9e04524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df71b32e6248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hortExtractTable" displayName="CohortExtractTable" ref="B15:U57" headerRowCount="1" totalsRowCount="0" totalsRowShown="0">
  <x:tableColumns count="20">
    <x:tableColumn id="1" name="Cohort Type"/>
    <x:tableColumn id="2" name="Cohort Month"/>
    <x:tableColumn id="3" name="Period Index"/>
    <x:tableColumn id="4" name="Dimension"/>
    <x:tableColumn id="5" name="Product"/>
    <x:tableColumn id="6" name="SKU"/>
    <x:tableColumn id="7" name="Category"/>
    <x:tableColumn id="8" name="Marketplace"/>
    <x:tableColumn id="9" name="Period Month"/>
    <x:tableColumn id="10" name="Active Customers"/>
    <x:tableColumn id="11" name="Orders"/>
    <x:tableColumn id="12" name="Qty Sold"/>
    <x:tableColumn id="13" name="Revenue"/>
    <x:tableColumn id="14" name="HPP"/>
    <x:tableColumn id="15" name="Marketplace Fee"/>
    <x:tableColumn id="16" name="Ads"/>
    <x:tableColumn id="17" name="Gross Profit"/>
    <x:tableColumn id="18" name="Net Profit"/>
    <x:tableColumn id="19" name="Store"/>
    <x:tableColumn id="20" name="Dat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PerformanceTable" displayName="ProductPerformanceTable" ref="B15:L19" headerRowCount="1" totalsRowCount="0" totalsRowShown="0">
  <x:tableColumns count="11">
    <x:tableColumn id="1" name="Product"/>
    <x:tableColumn id="2" name="SKU"/>
    <x:tableColumn id="3" name="Category"/>
    <x:tableColumn id="4" name="Cohort Month"/>
    <x:tableColumn id="5" name="M0 Qty"/>
    <x:tableColumn id="6" name="M1 Qty"/>
    <x:tableColumn id="7" name="M2 Qty"/>
    <x:tableColumn id="8" name="Revenue"/>
    <x:tableColumn id="9" name="HPP"/>
    <x:tableColumn id="10" name="Gross Profit"/>
    <x:tableColumn id="11" name="Gross Margin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1844a2782147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52bf1244174649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24e9c31ec42c44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89" t="str">
        <x:v>Marketplace Analytics</x:v>
      </x:c>
      <x:c r="C2" s="89"/>
      <x:c r="D2" s="89"/>
      <x:c r="E2" s="89"/>
      <x:c r="F2" s="89"/>
      <x:c r="G2" s="89"/>
      <x:c r="H2" s="89"/>
      <x:c r="I2" s="89"/>
      <x:c r="J2" s="93" t="str">
        <x:v>FILTERED PERIOD</x:v>
      </x:c>
      <x:c r="K2" s="94"/>
      <x:c r="L2" s="94"/>
      <x:c r="M2" s="95"/>
      <x:c r="N2" s="93" t="str">
        <x:v>DATA CURRENT THROUGH</x:v>
      </x:c>
      <x:c r="O2" s="94"/>
      <x:c r="P2" s="94"/>
      <x:c r="Q2" s="95"/>
    </x:row>
    <x:row r="3" ht="34" customHeight="1">
      <x:c r="B3" s="106" t="str">
        <x:v>Overview | Product Performance | Cohort | Profitability</x:v>
      </x:c>
      <x:c r="C3" s="106"/>
      <x:c r="D3" s="106"/>
      <x:c r="E3" s="106"/>
      <x:c r="F3" s="106"/>
      <x:c r="G3" s="106"/>
      <x:c r="H3" s="106"/>
      <x:c r="I3" s="106"/>
      <x:c r="J3" s="107" t="n">
        <x:f>'Cohort Analysis'!$I$8</x:f>
        <x:v>46023</x:v>
      </x:c>
      <x:c r="K3" s="108"/>
      <x:c r="L3" s="108"/>
      <x:c r="M3" s="109"/>
      <x:c r="N3" s="107" t="n">
        <x:f>'Cohort Analysis'!$L$8</x:f>
        <x:v>46174</x:v>
      </x:c>
      <x:c r="O3" s="108"/>
      <x:c r="P3" s="108"/>
      <x:c r="Q3" s="109"/>
    </x:row>
    <x:row r="4" ht="20" customHeight="1">
      <x:c r="B4" s="110" t="str">
        <x:v>Source: project audit + synthetic cohort extract; replace yellow inputs in Cohort Input.</x:v>
      </x:c>
      <x:c r="C4" s="110"/>
      <x:c r="D4" s="110"/>
      <x:c r="E4" s="110"/>
      <x:c r="F4" s="110"/>
      <x:c r="G4" s="110"/>
      <x:c r="H4" s="110"/>
      <x:c r="I4" s="110"/>
      <x:c r="J4" s="110"/>
      <x:c r="K4" s="110"/>
      <x:c r="L4" s="110"/>
      <x:c r="M4" s="110"/>
      <x:c r="N4" s="110"/>
      <x:c r="O4" s="110"/>
      <x:c r="P4" s="110"/>
      <x:c r="Q4" s="110"/>
    </x:row>
    <x:row r="5" ht="20" customHeight="1">
      <x:c r="B5" s="47" t="str">
        <x:v>CUSTOMER COHORTS</x:v>
      </x:c>
      <x:c r="C5" s="48"/>
      <x:c r="D5" s="48"/>
      <x:c r="E5" s="49"/>
      <x:c r="F5" s="47" t="str">
        <x:v>ACTIVE CUSTOMERS (LATEST)</x:v>
      </x:c>
      <x:c r="G5" s="48"/>
      <x:c r="H5" s="48"/>
      <x:c r="I5" s="49"/>
      <x:c r="J5" s="47" t="str">
        <x:v>AVERAGE M1 RETENTION</x:v>
      </x:c>
      <x:c r="K5" s="48"/>
      <x:c r="L5" s="48"/>
      <x:c r="M5" s="49"/>
      <x:c r="N5" s="47" t="str">
        <x:v>AVERAGE M3 RETENTION</x:v>
      </x:c>
      <x:c r="O5" s="48"/>
      <x:c r="P5" s="48"/>
      <x:c r="Q5" s="49"/>
    </x:row>
    <x:row r="6" ht="27" customHeight="1">
      <x:c r="B6" s="114" t="n">
        <x:f>COUNTA('Cohort Analysis'!$B$16:$B$21)</x:f>
        <x:v>6</x:v>
      </x:c>
      <x:c r="C6" s="111"/>
      <x:c r="D6" s="111"/>
      <x:c r="E6" s="52"/>
      <x:c r="F6" s="114" t="n">
        <x:f>SUMIFS('Cohort Input'!$K$16:$K$75,'Cohort Input'!$B$16:$B$75,"Customer",'Cohort Input'!$J$16:$J$75,'Cohort Analysis'!$L$8)</x:f>
        <x:v>1804</x:v>
      </x:c>
      <x:c r="G6" s="51"/>
      <x:c r="H6" s="51"/>
      <x:c r="I6" s="52"/>
      <x:c r="J6" s="115" t="n">
        <x:f>'Cohort Analysis'!$F$10</x:f>
        <x:v>0.19992059859728653</x:v>
      </x:c>
      <x:c r="K6" s="116"/>
      <x:c r="L6" s="116"/>
      <x:c r="M6" s="117"/>
      <x:c r="N6" s="115" t="n">
        <x:f>'Cohort Analysis'!$I$10</x:f>
        <x:v>0.11313115129073258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3" t="str">
        <x:v>Illustrative extract</x:v>
      </x:c>
      <x:c r="C8" s="14"/>
      <x:c r="D8" s="15"/>
      <x:c r="E8" s="16"/>
      <x:c r="F8" s="13" t="str">
        <x:v>Illustrative extract</x:v>
      </x:c>
      <x:c r="G8" s="14"/>
      <x:c r="H8" s="15"/>
      <x:c r="I8" s="16"/>
      <x:c r="J8" s="13" t="str">
        <x:v>Illustrative extract</x:v>
      </x:c>
      <x:c r="K8" s="14"/>
      <x:c r="L8" s="15"/>
      <x:c r="M8" s="16"/>
      <x:c r="N8" s="13" t="str">
        <x:v>Illustrative extract</x:v>
      </x:c>
      <x:c r="O8" s="14"/>
      <x:c r="P8" s="15"/>
      <x:c r="Q8" s="16"/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tr">
        <x:v>PRODUCT COHORTS</x:v>
      </x:c>
      <x:c r="C10" s="48"/>
      <x:c r="D10" s="48"/>
      <x:c r="E10" s="49"/>
      <x:c r="F10" s="47" t="str">
        <x:v>COHORT REVENUE</x:v>
      </x:c>
      <x:c r="G10" s="48"/>
      <x:c r="H10" s="48"/>
      <x:c r="I10" s="49"/>
      <x:c r="J10" s="47" t="str">
        <x:v>GROSS PROFIT</x:v>
      </x:c>
      <x:c r="K10" s="48"/>
      <x:c r="L10" s="48"/>
      <x:c r="M10" s="49"/>
      <x:c r="N10" s="47" t="str">
        <x:v>AVERAGE GROSS MARGIN</x:v>
      </x:c>
      <x:c r="O10" s="48"/>
      <x:c r="P10" s="48"/>
      <x:c r="Q10" s="49"/>
    </x:row>
    <x:row r="11" ht="27" customHeight="1">
      <x:c r="B11" s="114" t="n">
        <x:f>COUNTA('Product Performance'!$B$16:$B$19)</x:f>
        <x:v>4</x:v>
      </x:c>
      <x:c r="C11" s="113"/>
      <x:c r="D11" s="113"/>
      <x:c r="E11" s="80"/>
      <x:c r="F11" s="118" t="n">
        <x:f>SUM('Product Performance'!$I$16:$I$19)</x:f>
        <x:v>1193675000</x:v>
      </x:c>
      <x:c r="G11" s="119"/>
      <x:c r="H11" s="119"/>
      <x:c r="I11" s="120"/>
      <x:c r="J11" s="118" t="n">
        <x:f>SUM('Product Performance'!$K$16:$K$19)</x:f>
        <x:v>477470000</x:v>
      </x:c>
      <x:c r="K11" s="112"/>
      <x:c r="L11" s="112"/>
      <x:c r="M11" s="55"/>
      <x:c r="N11" s="115" t="n">
        <x:f>AVERAGE('Product Performance'!$L$16:$L$19)</x:f>
        <x:v>0.4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3" t="str">
        <x:v>Illustrative extract</x:v>
      </x:c>
      <x:c r="C13" s="14"/>
      <x:c r="D13" s="15"/>
      <x:c r="E13" s="16"/>
      <x:c r="F13" s="13" t="str">
        <x:v>Illustrative extract</x:v>
      </x:c>
      <x:c r="G13" s="14"/>
      <x:c r="H13" s="15"/>
      <x:c r="I13" s="16"/>
      <x:c r="J13" s="13" t="str">
        <x:v>Illustrative extract</x:v>
      </x:c>
      <x:c r="K13" s="14"/>
      <x:c r="L13" s="15"/>
      <x:c r="M13" s="16"/>
      <x:c r="N13" s="13" t="str">
        <x:v>Illustrative extract</x:v>
      </x:c>
      <x:c r="O13" s="14"/>
      <x:c r="P13" s="15"/>
      <x:c r="Q13" s="16"/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121" t="str">
        <x:v>CUSTOMER RETENTION BY COHORT</x:v>
      </x:c>
      <x:c r="C15" s="121"/>
      <x:c r="D15" s="121"/>
      <x:c r="E15" s="121"/>
      <x:c r="F15" s="121"/>
      <x:c r="G15" s="121"/>
      <x:c r="H15" s="121"/>
      <x:c r="I15" s="121"/>
      <x:c r="J15" s="121" t="str">
        <x:v>PRODUCT COHORT REVENUE</x:v>
      </x:c>
      <x:c r="K15" s="121"/>
      <x:c r="L15" s="121"/>
      <x:c r="M15" s="121"/>
      <x:c r="N15" s="121"/>
      <x:c r="O15" s="121"/>
      <x:c r="P15" s="121"/>
      <x:c r="Q15" s="121"/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121" t="str">
        <x:v>CUSTOMER COHORT SIZES</x:v>
      </x:c>
      <x:c r="C29" s="121"/>
      <x:c r="D29" s="121"/>
      <x:c r="E29" s="121"/>
      <x:c r="F29" s="121"/>
      <x:c r="G29" s="121"/>
      <x:c r="H29" s="121"/>
      <x:c r="I29" s="121"/>
      <x:c r="J29" s="121" t="str">
        <x:v>GROSS PROFIT MIX BY CATEGORY</x:v>
      </x:c>
      <x:c r="K29" s="121"/>
      <x:c r="L29" s="121"/>
      <x:c r="M29" s="121"/>
      <x:c r="N29" s="121"/>
      <x:c r="O29" s="121"/>
      <x:c r="P29" s="121"/>
      <x:c r="Q29" s="121"/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COHORT KPI SUMMARY — SYNTHETIC SAMPLE</x:v>
      </x:c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</x:row>
    <x:row r="44" ht="26" customHeight="1">
      <x:c r="B44" s="122" t="str">
        <x:v>Metric</x:v>
      </x:c>
      <x:c r="C44" s="122" t="str">
        <x:v>Definition</x:v>
      </x:c>
      <x:c r="D44" s="122" t="str">
        <x:v>Value</x:v>
      </x:c>
      <x:c r="E44" s="122" t="str">
        <x:v>Unit</x:v>
      </x:c>
      <x:c r="F44" s="122" t="str">
        <x:v>Source</x:v>
      </x:c>
      <x:c r="G44" s="122" t="str">
        <x:v>Status</x:v>
      </x:c>
      <x:c r="H44" s="122" t="str">
        <x:v>Notes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31" t="str">
        <x:v>Customer Cohort</x:v>
      </x:c>
      <x:c r="C45" s="132" t="str">
        <x:v>First transaction month</x:v>
      </x:c>
      <x:c r="D45" s="135" t="n">
        <x:f>COUNTA('Cohort Analysis'!$B$16:$B$21)</x:f>
        <x:v>6</x:v>
      </x:c>
      <x:c r="E45" s="133" t="str">
        <x:v>count</x:v>
      </x:c>
      <x:c r="F45" s="139" t="str">
        <x:f t="shared" ref="F45:F52" si="0">D45-E45</x:f>
        <x:v>Cohort Analysis</x:v>
      </x:c>
      <x:c r="G45" s="134" t="str">
        <x:f t="shared" ref="G45:G52" si="1">IFERROR(D45/E45-1,"")</x:f>
        <x:v>Ready</x:v>
      </x:c>
      <x:c r="H45" s="132" t="str">
        <x:v>Replace sample extract</x:v>
      </x:c>
      <x:c r="I45" s="12"/>
      <x:c r="J45" s="57"/>
      <x:c r="K45" s="58"/>
      <x:c r="L45" s="58"/>
      <x:c r="M45" s="58"/>
      <x:c r="N45" s="58"/>
      <x:c r="O45" s="58"/>
      <x:c r="P45" s="58"/>
      <x:c r="Q45" s="59"/>
    </x:row>
    <x:row r="46">
      <x:c r="B46" s="131" t="str">
        <x:v>M1 Retention</x:v>
      </x:c>
      <x:c r="C46" s="132" t="str">
        <x:v>Returning unique customers / cohort base</x:v>
      </x:c>
      <x:c r="D46" s="136" t="n">
        <x:f>'Cohort Analysis'!$F$10</x:f>
        <x:v>0.19992059859728653</x:v>
      </x:c>
      <x:c r="E46" s="133" t="str">
        <x:v>%</x:v>
      </x:c>
      <x:c r="F46" s="139" t="str">
        <x:f t="shared" si="0"/>
        <x:v>Customer Cohort</x:v>
      </x:c>
      <x:c r="G46" s="134" t="str">
        <x:f t="shared" si="1"/>
        <x:v>Ready</x:v>
      </x:c>
      <x:c r="H46" s="132" t="str">
        <x:v>Default metric</x:v>
      </x:c>
      <x:c r="I46" s="12"/>
      <x:c r="J46" s="60"/>
      <x:c r="K46" s="61"/>
      <x:c r="L46" s="61"/>
      <x:c r="M46" s="61"/>
      <x:c r="N46" s="61"/>
      <x:c r="O46" s="61"/>
      <x:c r="P46" s="61"/>
      <x:c r="Q46" s="62"/>
    </x:row>
    <x:row r="47">
      <x:c r="B47" s="131" t="str">
        <x:v>Product Cohort</x:v>
      </x:c>
      <x:c r="C47" s="132" t="str">
        <x:v>First transaction month by SKU</x:v>
      </x:c>
      <x:c r="D47" s="135" t="n">
        <x:f>COUNTA('Product Performance'!$B$16:$B$19)</x:f>
        <x:v>4</x:v>
      </x:c>
      <x:c r="E47" s="134" t="str">
        <x:v>count</x:v>
      </x:c>
      <x:c r="F47" s="140" t="str">
        <x:f t="shared" si="0"/>
        <x:v>Product Performance</x:v>
      </x:c>
      <x:c r="G47" s="134" t="str">
        <x:f t="shared" si="1"/>
        <x:v>Ready</x:v>
      </x:c>
      <x:c r="H47" s="132" t="str">
        <x:v>SKU/product/category</x:v>
      </x:c>
      <x:c r="I47" s="12"/>
      <x:c r="J47" s="60"/>
      <x:c r="K47" s="61"/>
      <x:c r="L47" s="61"/>
      <x:c r="M47" s="61"/>
      <x:c r="N47" s="61"/>
      <x:c r="O47" s="61"/>
      <x:c r="P47" s="61"/>
      <x:c r="Q47" s="62"/>
    </x:row>
    <x:row r="48">
      <x:c r="B48" s="131" t="str">
        <x:v>Gross Margin</x:v>
      </x:c>
      <x:c r="C48" s="132" t="str">
        <x:v>Gross profit / revenue</x:v>
      </x:c>
      <x:c r="D48" s="136" t="n">
        <x:f>AVERAGE('Product Performance'!$L$16:$L$19)</x:f>
        <x:v>0.4</x:v>
      </x:c>
      <x:c r="E48" s="134" t="str">
        <x:v>%</x:v>
      </x:c>
      <x:c r="F48" s="142" t="str">
        <x:f t="shared" si="0"/>
        <x:v>Profitability</x:v>
      </x:c>
      <x:c r="G48" s="134" t="str">
        <x:f t="shared" si="1"/>
        <x:v>Review</x:v>
      </x:c>
      <x:c r="H48" s="132" t="str">
        <x:v>Depends on fee/HPP completeness</x:v>
      </x:c>
      <x:c r="I48" s="12"/>
      <x:c r="J48" s="63"/>
      <x:c r="K48" s="64"/>
      <x:c r="L48" s="64"/>
      <x:c r="M48" s="64"/>
      <x:c r="N48" s="64"/>
      <x:c r="O48" s="64"/>
      <x:c r="P48" s="64"/>
      <x:c r="Q48" s="65"/>
    </x:row>
    <x:row r="49">
      <x:c r="B49" s="18"/>
      <x:c r="C49" s="19"/>
      <x:c r="D49" s="22"/>
      <x:c r="E49" s="22"/>
      <x:c r="F49" s="22">
        <x:f t="shared" si="0"/>
      </x:c>
      <x:c r="G49" s="21">
        <x:f t="shared" si="1"/>
      </x:c>
      <x:c r="H49" s="19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/>
      <x:c r="C50" s="19"/>
      <x:c r="D50" s="23"/>
      <x:c r="E50" s="23"/>
      <x:c r="F50" s="23">
        <x:f t="shared" si="0"/>
      </x:c>
      <x:c r="G50" s="21">
        <x:f t="shared" si="1"/>
      </x:c>
      <x:c r="H50" s="19"/>
      <x:c r="I50" s="12"/>
      <x:c r="J50" s="66"/>
      <x:c r="K50" s="67"/>
      <x:c r="L50" s="67"/>
      <x:c r="M50" s="67"/>
      <x:c r="N50" s="67"/>
      <x:c r="O50" s="67"/>
      <x:c r="P50" s="67"/>
      <x:c r="Q50" s="68"/>
    </x:row>
    <x:row r="51">
      <x:c r="B51" s="18"/>
      <x:c r="C51" s="19"/>
      <x:c r="D51" s="21"/>
      <x:c r="E51" s="21"/>
      <x:c r="F51" s="21">
        <x:f t="shared" si="0"/>
      </x:c>
      <x:c r="G51" s="21">
        <x:f t="shared" si="1"/>
      </x:c>
      <x:c r="H51" s="19"/>
      <x:c r="I51" s="12"/>
      <x:c r="J51" s="69"/>
      <x:c r="K51" s="70"/>
      <x:c r="L51" s="70"/>
      <x:c r="M51" s="70"/>
      <x:c r="N51" s="70"/>
      <x:c r="O51" s="70"/>
      <x:c r="P51" s="70"/>
      <x:c r="Q51" s="71"/>
    </x:row>
    <x:row r="52">
      <x:c r="B52" s="18"/>
      <x:c r="C52" s="19"/>
      <x:c r="D52" s="24"/>
      <x:c r="E52" s="24"/>
      <x:c r="F52" s="24">
        <x:f t="shared" si="0"/>
      </x:c>
      <x:c r="G52" s="21">
        <x:f t="shared" si="1"/>
      </x:c>
      <x:c r="H52" s="19"/>
      <x:c r="I52" s="12"/>
      <x:c r="J52" s="72"/>
      <x:c r="K52" s="73"/>
      <x:c r="L52" s="73"/>
      <x:c r="M52" s="73"/>
      <x:c r="N52" s="73"/>
      <x:c r="O52" s="73"/>
      <x:c r="P52" s="73"/>
      <x:c r="Q52" s="74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111844a27821477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45" style="27" hidden="0" customWidth="1"/>
    <x:col min="6" max="6" width="36" style="27" hidden="0" customWidth="1"/>
    <x:col min="7" max="8" width="15" style="27" customWidth="1"/>
    <x:col min="9" max="9" width="14" style="27" hidden="0" customWidth="1"/>
    <x:col min="10" max="10" width="14" style="27" hidden="0" customWidth="1"/>
    <x:col min="11" max="11" width="14" style="27" hidden="0" customWidth="1"/>
    <x:col min="12" max="15" width="16" style="27" customWidth="1"/>
    <x:col min="16" max="16" width="14" style="27" hidden="0" customWidth="1"/>
    <x:col min="17" max="16384" width="8.83203125" style="27" customWidth="0"/>
    <x:col min="2" max="2" width="20" hidden="0" customWidth="1"/>
    <x:col min="3" max="3" width="38" hidden="0" customWidth="1"/>
    <x:col min="4" max="4" width="28" hidden="0" customWidth="1"/>
    <x:col min="7" max="7" width="14" hidden="0" customWidth="1"/>
    <x:col min="8" max="8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2" ht="26" customHeight="1">
      <x:c r="B2" s="89" t="str">
        <x:v>Marketplace Analytics</x:v>
      </x:c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</x:row>
    <x:row r="3" ht="26" customHeight="1">
      <x:c r="B3" s="144" t="str">
        <x:v>Cohort Definitions &amp; Route Recommendation</x:v>
      </x:c>
      <x:c r="C3" s="145"/>
      <x:c r="D3" s="145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146" t="str">
        <x:v>HOW TO USE</x:v>
      </x:c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</x:row>
    <x:row r="6" ht="22" customHeight="1">
      <x:c r="B6" s="147" t="str">
        <x:v>Isi atau ganti baris kuning di Cohort Input dengan hasil agregasi SQL dari marketplace_orders + marketplace_order_items.</x:v>
      </x:c>
      <x:c r="C6" s="147"/>
      <x:c r="D6" s="147"/>
      <x:c r="E6" s="147"/>
      <x:c r="F6" s="147"/>
      <x:c r="G6" s="147"/>
      <x:c r="H6" s="147"/>
      <x:c r="I6" s="147"/>
      <x:c r="J6" s="147"/>
      <x:c r="K6" s="147"/>
      <x:c r="L6" s="147"/>
      <x:c r="M6" s="147"/>
      <x:c r="N6" s="147"/>
      <x:c r="O6" s="147"/>
      <x:c r="P6" s="147"/>
    </x:row>
    <x:row r="7" ht="22" customHeight="1">
      <x:c r="B7" s="147" t="str">
        <x:v>Workbook ini adalah artefak analitik/audit; tidak mengubah route, controller, service, view, atau migration project.</x:v>
      </x:c>
      <x:c r="C7" s="147"/>
      <x:c r="D7" s="147"/>
      <x:c r="E7" s="147"/>
      <x:c r="F7" s="147"/>
      <x:c r="G7" s="147"/>
      <x:c r="H7" s="147"/>
      <x:c r="I7" s="147"/>
      <x:c r="J7" s="147"/>
      <x:c r="K7" s="147"/>
      <x:c r="L7" s="147"/>
      <x:c r="M7" s="147"/>
      <x:c r="N7" s="147"/>
      <x:c r="O7" s="147"/>
      <x:c r="P7" s="147"/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22" t="str">
        <x:v>ITEM</x:v>
      </x:c>
      <x:c r="C9" s="157" t="str">
        <x:v>DEFINITION / DECISION</x:v>
      </x:c>
      <x:c r="D9" s="158" t="str">
        <x:v>CURRENT BASIS</x:v>
      </x:c>
      <x:c r="E9" s="158" t="str">
        <x:v>PROPOSED COHORT BASIS</x:v>
      </x:c>
      <x:c r="F9" s="158" t="str">
        <x:v>RISK / NOTE</x:v>
      </x:c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42" customHeight="1">
      <x:c r="B10" s="159" t="str">
        <x:v>Customer Cohort</x:v>
      </x:c>
      <x:c r="C10" s="168" t="str">
        <x:v>Customer dikelompokkan pada bulan transaksi pertama.</x:v>
      </x:c>
      <x:c r="D10" s="169" t="str">
        <x:v>buyer/customer identity belum konsisten terkonfirmasi.</x:v>
      </x:c>
      <x:c r="E10" s="169" t="str">
        <x:v>M0 = first purchase month; M1+ = unique buyers yang kembali.</x:v>
      </x:c>
      <x:c r="F10" s="169" t="str">
        <x:v>Perlu aturan fallback buyer_username/customer_id dan dedupe lintas toko.</x:v>
      </x:c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 ht="42" customHeight="1">
      <x:c r="B11" s="159" t="str">
        <x:v>Product Cohort</x:v>
      </x:c>
      <x:c r="C11" s="162" t="str">
        <x:v>SKU/product dikelompokkan pada bulan transaksi pertama.</x:v>
      </x:c>
      <x:c r="D11" s="162" t="str">
        <x:v>model_sku/item_sku/external_sku/internal_item_id tersedia.</x:v>
      </x:c>
      <x:c r="E11" s="162" t="str">
        <x:v>M0 = first transaction month per SKU/product; metrik qty/revenue/profit.</x:v>
      </x:c>
      <x:c r="F11" s="162" t="str">
        <x:v>Category perlu ditarik dari Item / ItemCategory; tidak tampak di item order langsung.</x:v>
      </x:c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</x:row>
    <x:row r="12" ht="42" customHeight="1">
      <x:c r="B12" s="170" t="str">
        <x:v>Metric</x:v>
      </x:c>
      <x:c r="C12" s="169" t="str">
        <x:v>Retention %, active customers, orders, qty, revenue; product qty, revenue, GP, margin, net profit.</x:v>
      </x:c>
      <x:c r="D12" s="169" t="str">
        <x:v>Summary service sudah menghitung qty, gross sales, payout, HPP, ads.</x:v>
      </x:c>
      <x:c r="E12" s="169" t="str">
        <x:v>Gunakan SQL aggregation dan formula audit di workbook.</x:v>
      </x:c>
      <x:c r="F12" s="169" t="str">
        <x:v>Net profit hanya valid jika ads dan fee coverage lengkap.</x:v>
      </x:c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42" customHeight="1">
      <x:c r="B13" s="171" t="str">
        <x:v>Filters</x:v>
      </x:c>
      <x:c r="C13" s="171" t="str">
        <x:v>Date range + store sudah tersedia di page/API.</x:v>
      </x:c>
      <x:c r="D13" s="171" t="str">
        <x:v>Controller validate date_from/date_to/store_id.</x:v>
      </x:c>
      <x:c r="E13" s="171" t="str">
        <x:v>Tambahkan marketplace/store/category/product/SKU di service baru.</x:v>
      </x:c>
      <x:c r="F13" s="171" t="str">
        <x:v>Jangan membuat filter client-side yang mengunduh semua transaksi.</x:v>
      </x:c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</x:row>
    <x:row r="14" ht="42" customHeight="1">
      <x:c r="B14" s="170" t="str">
        <x:v>Route/UI</x:v>
      </x:c>
      <x:c r="C14" s="169" t="str">
        <x:v>Route saat ini GET /marketplace/analytics dengan tab client-side.</x:v>
      </x:c>
      <x:c r="D14" s="169" t="str">
        <x:v>resources/views/marketplace/analytics.blade.php sudah punya tab.</x:v>
      </x:c>
      <x:c r="E14" s="169" t="str">
        <x:v>Rekomendasi: view=cohort untuk behavior existing tetap; route cohort terpisah jika diperlukan.</x:v>
      </x:c>
      <x:c r="F14" s="169" t="str">
        <x:v>Validasi arsitektur tab sebelum menambah route baru.</x:v>
      </x:c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42" customHeight="1">
      <x:c r="B15" s="164" t="str">
        <x:v>Migration</x:v>
      </x:c>
      <x:c r="C15" s="164" t="str">
        <x:v>Jangan tambah migration bila field existing cukup.</x:v>
      </x:c>
      <x:c r="D15" s="164" t="str">
        <x:v>orders/items/settlement/ads sudah tersedia.</x:v>
      </x:c>
      <x:c r="E15" s="164" t="str">
        <x:v>Mulai dari query/service; index hanya setelah explain plan.</x:v>
      </x:c>
      <x:c r="F15" s="164" t="str">
        <x:v>Audit index untuk date, buyer, store, SKU, item sebelum perubahan.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B16" s="30"/>
      <x:c r="C16" s="31"/>
      <x:c r="D16" s="31"/>
      <x:c r="E16" s="32"/>
      <x:c r="F16" s="32"/>
      <x:c r="G16" s="33"/>
      <x:c r="H16" s="34"/>
      <x:c r="I16" s="32"/>
      <x:c r="J16" s="31"/>
      <x:c r="K16" s="31"/>
      <x:c r="L16" s="32"/>
      <x:c r="M16" s="32"/>
      <x:c r="N16" s="33"/>
      <x:c r="O16" s="34"/>
      <x:c r="P16" s="32"/>
    </x:row>
    <x:row r="17">
      <x:c r="B17" s="30"/>
      <x:c r="C17" s="31"/>
      <x:c r="D17" s="31"/>
      <x:c r="E17" s="32"/>
      <x:c r="F17" s="32"/>
      <x:c r="G17" s="33"/>
      <x:c r="H17" s="34"/>
      <x:c r="I17" s="32"/>
      <x:c r="J17" s="31"/>
      <x:c r="K17" s="31"/>
      <x:c r="L17" s="32"/>
      <x:c r="M17" s="32"/>
      <x:c r="N17" s="33"/>
      <x:c r="O17" s="34"/>
      <x:c r="P17" s="32"/>
    </x:row>
    <x:row r="18">
      <x:c r="B18" s="177" t="str">
        <x:v>FORMULA CHECKLIST</x:v>
      </x:c>
      <x:c r="C18" s="178"/>
      <x:c r="D18" s="178"/>
      <x:c r="E18" s="179"/>
      <x:c r="F18" s="179"/>
      <x:c r="G18" s="180"/>
      <x:c r="H18" s="181"/>
      <x:c r="I18" s="179"/>
      <x:c r="J18" s="178"/>
      <x:c r="K18" s="178"/>
      <x:c r="L18" s="179"/>
      <x:c r="M18" s="179"/>
      <x:c r="N18" s="180"/>
      <x:c r="O18" s="181"/>
      <x:c r="P18" s="179"/>
    </x:row>
    <x:row r="19">
      <x:c r="B19" s="188" t="str">
        <x:v>Customer retention</x:v>
      </x:c>
      <x:c r="C19" s="189" t="str">
        <x:v>unique customers active in cohort-period / unique customers active in M0</x:v>
      </x:c>
      <x:c r="D19" s="31"/>
      <x:c r="E19" s="32"/>
      <x:c r="F19" s="32"/>
      <x:c r="G19" s="33"/>
      <x:c r="H19" s="34"/>
      <x:c r="I19" s="32"/>
      <x:c r="J19" s="31"/>
      <x:c r="K19" s="31"/>
      <x:c r="L19" s="32"/>
      <x:c r="M19" s="32"/>
      <x:c r="N19" s="33"/>
      <x:c r="O19" s="34"/>
      <x:c r="P19" s="32"/>
    </x:row>
    <x:row r="20">
      <x:c r="B20" s="188" t="str">
        <x:v>Product cohort</x:v>
      </x:c>
      <x:c r="C20" s="189" t="str">
        <x:v>group by first transaction month; aggregate qty, revenue, HPP, fee, ads, gross profit, net profit</x:v>
      </x:c>
      <x:c r="D20" s="31"/>
      <x:c r="E20" s="32"/>
      <x:c r="F20" s="32"/>
      <x:c r="G20" s="33"/>
      <x:c r="H20" s="34"/>
      <x:c r="I20" s="32"/>
      <x:c r="J20" s="31"/>
      <x:c r="K20" s="31"/>
      <x:c r="L20" s="32"/>
      <x:c r="M20" s="32"/>
      <x:c r="N20" s="33"/>
      <x:c r="O20" s="34"/>
      <x:c r="P20" s="32"/>
    </x:row>
    <x:row r="21">
      <x:c r="B21" s="188" t="str">
        <x:v>Performance</x:v>
      </x:c>
      <x:c r="C21" s="189" t="str">
        <x:v>SQL GROUP BY / conditional aggregation; no N+1; controller delegates to MarketplaceCohortService</x:v>
      </x:c>
      <x:c r="D21" s="31"/>
      <x:c r="E21" s="32"/>
      <x:c r="F21" s="32"/>
      <x:c r="G21" s="33"/>
      <x:c r="H21" s="34"/>
      <x:c r="I21" s="32"/>
      <x:c r="J21" s="31"/>
      <x:c r="K21" s="31"/>
      <x:c r="L21" s="32"/>
      <x:c r="M21" s="32"/>
      <x:c r="N21" s="33"/>
      <x:c r="O21" s="34"/>
      <x:c r="P21" s="32"/>
    </x:row>
    <x:row r="22">
      <x:c r="B22" s="30"/>
      <x:c r="C22" s="31"/>
      <x:c r="D22" s="31"/>
      <x:c r="E22" s="32"/>
      <x:c r="F22" s="32"/>
      <x:c r="G22" s="33"/>
      <x:c r="H22" s="34"/>
      <x:c r="I22" s="32"/>
      <x:c r="J22" s="31"/>
      <x:c r="K22" s="31"/>
      <x:c r="L22" s="32"/>
      <x:c r="M22" s="32"/>
      <x:c r="N22" s="33"/>
      <x:c r="O22" s="34"/>
      <x:c r="P22" s="32"/>
    </x:row>
    <x:row r="23">
      <x:c r="B23" s="30"/>
      <x:c r="C23" s="31"/>
      <x:c r="D23" s="31"/>
      <x:c r="E23" s="32"/>
      <x:c r="F23" s="32"/>
      <x:c r="G23" s="33"/>
      <x:c r="H23" s="34"/>
      <x:c r="I23" s="32"/>
      <x:c r="J23" s="31"/>
      <x:c r="K23" s="31"/>
      <x:c r="L23" s="32"/>
      <x:c r="M23" s="32"/>
      <x:c r="N23" s="33"/>
      <x:c r="O23" s="34"/>
      <x:c r="P23" s="32"/>
    </x:row>
    <x:row r="24">
      <x:c r="B24" s="30"/>
      <x:c r="C24" s="31"/>
      <x:c r="D24" s="31"/>
      <x:c r="E24" s="32"/>
      <x:c r="F24" s="32"/>
      <x:c r="G24" s="33"/>
      <x:c r="H24" s="34"/>
      <x:c r="I24" s="32"/>
      <x:c r="J24" s="31"/>
      <x:c r="K24" s="31"/>
      <x:c r="L24" s="32"/>
      <x:c r="M24" s="32"/>
      <x:c r="N24" s="33"/>
      <x:c r="O24" s="34"/>
      <x:c r="P24" s="32"/>
    </x:row>
    <x:row r="25">
      <x:c r="B25" s="30"/>
      <x:c r="C25" s="31"/>
      <x:c r="D25" s="31"/>
      <x:c r="E25" s="32"/>
      <x:c r="F25" s="32"/>
      <x:c r="G25" s="33"/>
      <x:c r="H25" s="34"/>
      <x:c r="I25" s="32"/>
      <x:c r="J25" s="31"/>
      <x:c r="K25" s="31"/>
      <x:c r="L25" s="32"/>
      <x:c r="M25" s="32"/>
      <x:c r="N25" s="33"/>
      <x:c r="O25" s="34"/>
      <x:c r="P25" s="32"/>
    </x:row>
    <x:row r="26">
      <x:c r="B26" s="30"/>
      <x:c r="C26" s="31"/>
      <x:c r="D26" s="31"/>
      <x:c r="E26" s="32"/>
      <x:c r="F26" s="32"/>
      <x:c r="G26" s="33"/>
      <x:c r="H26" s="34"/>
      <x:c r="I26" s="32"/>
      <x:c r="J26" s="31"/>
      <x:c r="K26" s="31"/>
      <x:c r="L26" s="32"/>
      <x:c r="M26" s="32"/>
      <x:c r="N26" s="33"/>
      <x:c r="O26" s="34"/>
      <x:c r="P26" s="32"/>
    </x:row>
    <x:row r="27">
      <x:c r="B27" s="30"/>
      <x:c r="C27" s="31"/>
      <x:c r="D27" s="31"/>
      <x:c r="E27" s="32"/>
      <x:c r="F27" s="32"/>
      <x:c r="G27" s="33"/>
      <x:c r="H27" s="34"/>
      <x:c r="I27" s="32"/>
      <x:c r="J27" s="31"/>
      <x:c r="K27" s="31"/>
      <x:c r="L27" s="32"/>
      <x:c r="M27" s="32"/>
      <x:c r="N27" s="33"/>
      <x:c r="O27" s="34"/>
      <x:c r="P27" s="32"/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/>
      <x:c r="C29" s="86"/>
      <x:c r="D29" s="86"/>
      <x:c r="E29" s="86"/>
      <x:c r="F29" s="28"/>
      <x:c r="G29" s="86"/>
      <x:c r="H29" s="86"/>
      <x:c r="I29" s="86"/>
      <x:c r="J29" s="86"/>
      <x:c r="K29" s="28"/>
      <x:c r="L29" s="28"/>
      <x:c r="M29" s="28"/>
      <x:c r="N29" s="28"/>
      <x:c r="O29" s="28"/>
      <x:c r="P29" s="28"/>
    </x:row>
    <x:row r="30">
      <x:c r="B30" s="3"/>
      <x:c r="C30" s="3"/>
      <x:c r="D30" s="28"/>
      <x:c r="E30" s="28"/>
      <x:c r="F30" s="28"/>
      <x:c r="G30" s="3"/>
      <x:c r="H30" s="3"/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4"/>
      <x:c r="C31" s="35"/>
      <x:c r="D31" s="28"/>
      <x:c r="E31" s="28"/>
      <x:c r="F31" s="28"/>
      <x:c r="G31" s="4"/>
      <x:c r="H31" s="32"/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4"/>
      <x:c r="C32" s="32"/>
      <x:c r="D32" s="28"/>
      <x:c r="E32" s="28"/>
      <x:c r="F32" s="28"/>
      <x:c r="G32" s="4"/>
      <x:c r="H32" s="32"/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4"/>
      <x:c r="C33" s="32"/>
      <x:c r="D33" s="28"/>
      <x:c r="E33" s="28"/>
      <x:c r="F33" s="28"/>
      <x:c r="G33" s="4"/>
      <x:c r="H33" s="32"/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4"/>
      <x:c r="C34" s="32"/>
      <x:c r="D34" s="28"/>
      <x:c r="E34" s="28"/>
      <x:c r="F34" s="28"/>
      <x:c r="G34" s="4"/>
      <x:c r="H34" s="32"/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4"/>
      <x:c r="C35" s="32"/>
      <x:c r="D35" s="28"/>
      <x:c r="E35" s="28"/>
      <x:c r="F35" s="28"/>
      <x:c r="G35" s="5"/>
      <x:c r="H35" s="26"/>
      <x:c r="I35" s="28"/>
      <x:c r="J35" s="28"/>
      <x:c r="K35" s="28"/>
      <x:c r="L35" s="28"/>
      <x:c r="M35" s="28"/>
      <x:c r="N35" s="28"/>
      <x:c r="O35" s="28"/>
      <x:c r="P35" s="28"/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5" hidden="0" customWidth="1"/>
    <x:col min="2" max="4" width="14" customWidth="1"/>
    <x:col min="5" max="5" width="12" customWidth="1"/>
    <x:col min="6" max="6" width="22" hidden="0" customWidth="1"/>
    <x:col min="7" max="7" width="15" hidden="0" customWidth="1"/>
    <x:col min="8" max="8" width="14" customWidth="1"/>
    <x:col min="9" max="9" width="15" hidden="0" customWidth="1"/>
    <x:col min="10" max="10" width="12" hidden="0" customWidth="1"/>
    <x:col min="11" max="11" width="3" customWidth="1"/>
    <x:col min="12" max="12" width="16" hidden="0" customWidth="1"/>
    <x:col min="13" max="13" width="15" hidden="0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14" hidden="0" customWidth="1"/>
    <x:col min="3" max="3" width="14" hidden="0" customWidth="1"/>
    <x:col min="4" max="4" width="12" hidden="0" customWidth="1"/>
  </x:cols>
  <x:sheetData>
    <x:row r="1">
      <x:c r="A1" s="122" t="str">
        <x:v>Cohort</x:v>
      </x:c>
      <x:c r="B1" s="122" t="str">
        <x:v>M1 Retention</x:v>
      </x:c>
      <x:c r="C1" s="122" t="str">
        <x:v>M3 Retention</x:v>
      </x:c>
      <x:c r="D1" s="122" t="str">
        <x:v>Customers</x:v>
      </x:c>
      <x:c r="E1" s="3"/>
      <x:c r="F1" s="122" t="str">
        <x:v>Product</x:v>
      </x:c>
      <x:c r="G1" s="122" t="str">
        <x:v>Revenue</x:v>
      </x:c>
      <x:c r="H1" s="3"/>
      <x:c r="I1" s="122" t="str">
        <x:v>Cohort</x:v>
      </x:c>
      <x:c r="J1" s="122" t="str">
        <x:v>Customers</x:v>
      </x:c>
      <x:c r="K1" s="4"/>
      <x:c r="L1" s="122" t="str">
        <x:v>Category</x:v>
      </x:c>
      <x:c r="M1" s="122" t="str">
        <x:v>Gross Profit</x:v>
      </x:c>
      <x:c r="N1" s="3"/>
      <x:c r="O1" s="4"/>
      <x:c r="P1" s="3"/>
      <x:c r="Q1" s="3"/>
      <x:c r="R1" s="4"/>
      <x:c r="S1" s="3"/>
      <x:c r="T1" s="3"/>
    </x:row>
    <x:row r="2">
      <x:c r="A2" s="255" t="str">
        <x:f>TEXT('Cohort Analysis'!$B$16,"mmm yyyy")</x:f>
        <x:v>Jan 2026</x:v>
      </x:c>
      <x:c r="B2" s="256" t="n">
        <x:f>'Cohort Analysis'!$E$16</x:f>
        <x:v>0.17983870967741936</x:v>
      </x:c>
      <x:c r="C2" s="256" t="n">
        <x:f>'Cohort Analysis'!$G$16</x:f>
        <x:v>0.10967741935483871</x:v>
      </x:c>
      <x:c r="D2" s="257" t="n">
        <x:f>'Cohort Analysis'!$C$16</x:f>
        <x:v>1240</x:v>
      </x:c>
      <x:c r="E2" s="4">
        <x:f t="shared" ref="E2:E7" si="0">"Higher"</x:f>
      </x:c>
      <x:c r="F2" s="255" t="str">
        <x:f t="shared" ref="F2:F9" si="1">'Product Performance'!$B$16</x:f>
        <x:v>Tracktop Black</x:v>
      </x:c>
      <x:c r="G2" s="258" t="n">
        <x:f>'Product Performance'!$I$16</x:f>
        <x:v>484700000</x:v>
      </x:c>
      <x:c r="H2" s="11"/>
      <x:c r="I2" s="255" t="str">
        <x:f>TEXT('Cohort Analysis'!$B$16,"mmm yyyy")</x:f>
        <x:v>Jan 2026</x:v>
      </x:c>
      <x:c r="J2" s="257" t="n">
        <x:f>'Cohort Analysis'!$C$16</x:f>
        <x:v>1240</x:v>
      </x:c>
      <x:c r="K2" s="4"/>
      <x:c r="L2" s="11" t="str">
        <x:v>Apparel</x:v>
      </x:c>
      <x:c r="M2" s="258" t="n">
        <x:f>SUMIFS('Product Performance'!$K$16:$K$19,'Product Performance'!$D$16:$D$19,L2)</x:f>
        <x:v>437470000</x:v>
      </x:c>
      <x:c r="N2" s="4"/>
      <x:c r="O2" s="4"/>
      <x:c r="P2" s="4"/>
      <x:c r="Q2" s="6"/>
      <x:c r="R2" s="4"/>
      <x:c r="S2" s="4"/>
      <x:c r="T2" s="9"/>
    </x:row>
    <x:row r="3">
      <x:c r="A3" s="255" t="str">
        <x:f>TEXT('Cohort Analysis'!$B$17,"mmm yyyy")</x:f>
        <x:v>Feb 2026</x:v>
      </x:c>
      <x:c r="B3" s="256" t="n">
        <x:f>'Cohort Analysis'!$E$17</x:f>
        <x:v>0.2099337748344371</x:v>
      </x:c>
      <x:c r="C3" s="256" t="n">
        <x:f>'Cohort Analysis'!$G$17</x:f>
        <x:v>0.11986754966887417</x:v>
      </x:c>
      <x:c r="D3" s="257" t="n">
        <x:f>'Cohort Analysis'!$C$17</x:f>
        <x:v>1510</x:v>
      </x:c>
      <x:c r="E3" s="4">
        <x:f t="shared" si="0"/>
      </x:c>
      <x:c r="F3" s="255" t="str">
        <x:f t="shared" si="1">'Product Performance'!$B$17</x:f>
        <x:v>Tracktop Navy</x:v>
      </x:c>
      <x:c r="G3" s="258" t="n">
        <x:f>'Product Performance'!$I$17</x:f>
        <x:v>473600000</x:v>
      </x:c>
      <x:c r="H3" s="11"/>
      <x:c r="I3" s="255" t="str">
        <x:f>TEXT('Cohort Analysis'!$B$17,"mmm yyyy")</x:f>
        <x:v>Feb 2026</x:v>
      </x:c>
      <x:c r="J3" s="257" t="n">
        <x:f>'Cohort Analysis'!$C$17</x:f>
        <x:v>1510</x:v>
      </x:c>
      <x:c r="K3" s="4"/>
      <x:c r="L3" s="11" t="str">
        <x:v>Accessories</x:v>
      </x:c>
      <x:c r="M3" s="258" t="n">
        <x:f>SUMIFS('Product Performance'!$K$16:$K$19,'Product Performance'!$D$16:$D$19,L3)</x:f>
        <x:v>40000000</x:v>
      </x:c>
      <x:c r="N3" s="4"/>
      <x:c r="O3" s="4"/>
      <x:c r="P3" s="4"/>
      <x:c r="Q3" s="6"/>
      <x:c r="R3" s="4"/>
      <x:c r="S3" s="4"/>
      <x:c r="T3" s="9"/>
    </x:row>
    <x:row r="4">
      <x:c r="A4" s="255" t="str">
        <x:f>TEXT('Cohort Analysis'!$B$18,"mmm yyyy")</x:f>
        <x:v>Mar 2026</x:v>
      </x:c>
      <x:c r="B4" s="256" t="n">
        <x:f>'Cohort Analysis'!$E$18</x:f>
        <x:v>0.2</x:v>
      </x:c>
      <x:c r="C4" s="256" t="n">
        <x:f>'Cohort Analysis'!$G$18</x:f>
        <x:v>0.10984848484848485</x:v>
      </x:c>
      <x:c r="D4" s="257" t="n">
        <x:f>'Cohort Analysis'!$C$18</x:f>
        <x:v>1320</x:v>
      </x:c>
      <x:c r="E4" s="4">
        <x:f t="shared" si="0"/>
      </x:c>
      <x:c r="F4" s="255" t="str">
        <x:f t="shared" si="1">'Product Performance'!$B$18</x:f>
        <x:v>Basic Tee White</x:v>
      </x:c>
      <x:c r="G4" s="258" t="n">
        <x:f>'Product Performance'!$I$18</x:f>
        <x:v>135375000</x:v>
      </x:c>
      <x:c r="H4" s="11"/>
      <x:c r="I4" s="255" t="str">
        <x:f>TEXT('Cohort Analysis'!$B$18,"mmm yyyy")</x:f>
        <x:v>Mar 2026</x:v>
      </x:c>
      <x:c r="J4" s="257" t="n">
        <x:f>'Cohort Analysis'!$C$18</x:f>
        <x:v>1320</x:v>
      </x:c>
      <x:c r="K4" s="4"/>
      <x:c r="L4" s="11"/>
      <x:c r="M4" s="4"/>
      <x:c r="N4" s="4"/>
      <x:c r="O4" s="4"/>
      <x:c r="P4" s="4"/>
      <x:c r="Q4" s="6"/>
      <x:c r="R4" s="4"/>
      <x:c r="S4" s="4"/>
      <x:c r="T4" s="9"/>
    </x:row>
    <x:row r="5">
      <x:c r="A5" s="255" t="str">
        <x:f>TEXT('Cohort Analysis'!$B$19,"mmm yyyy")</x:f>
        <x:v>Apr 2026</x:v>
      </x:c>
      <x:c r="B5" s="256" t="n">
        <x:f>'Cohort Analysis'!$E$19</x:f>
        <x:v>0.22</x:v>
      </x:c>
      <x:c r="C5" s="256" t="str">
        <x:f>'Cohort Analysis'!$G$19</x:f>
      </x:c>
      <x:c r="D5" s="257" t="n">
        <x:f>'Cohort Analysis'!$C$19</x:f>
        <x:v>1450</x:v>
      </x:c>
      <x:c r="E5" s="4">
        <x:f t="shared" si="0"/>
      </x:c>
      <x:c r="F5" s="255" t="str">
        <x:f t="shared" si="1">'Product Performance'!$B$19</x:f>
        <x:v>Canvas Bag</x:v>
      </x:c>
      <x:c r="G5" s="258" t="n">
        <x:f>'Product Performance'!$I$19</x:f>
        <x:v>100000000</x:v>
      </x:c>
      <x:c r="H5" s="11"/>
      <x:c r="I5" s="255" t="str">
        <x:f>TEXT('Cohort Analysis'!$B$19,"mmm yyyy")</x:f>
        <x:v>Apr 2026</x:v>
      </x:c>
      <x:c r="J5" s="257" t="n">
        <x:f>'Cohort Analysis'!$C$19</x:f>
        <x:v>1450</x:v>
      </x:c>
      <x:c r="K5" s="4"/>
      <x:c r="L5" s="11"/>
      <x:c r="M5" s="4"/>
      <x:c r="N5" s="4"/>
      <x:c r="O5" s="4"/>
      <x:c r="P5" s="4"/>
      <x:c r="Q5" s="6"/>
      <x:c r="R5" s="4"/>
      <x:c r="S5" s="4"/>
      <x:c r="T5" s="9"/>
    </x:row>
    <x:row r="6">
      <x:c r="A6" s="255" t="str">
        <x:f>TEXT('Cohort Analysis'!$B$20,"mmm yyyy")</x:f>
        <x:v>May 2026</x:v>
      </x:c>
      <x:c r="B6" s="256" t="n">
        <x:f>'Cohort Analysis'!$E$20</x:f>
        <x:v>0.18983050847457628</x:v>
      </x:c>
      <x:c r="C6" s="256" t="str">
        <x:f>'Cohort Analysis'!$G$20</x:f>
      </x:c>
      <x:c r="D6" s="257" t="n">
        <x:f>'Cohort Analysis'!$C$20</x:f>
        <x:v>1180</x:v>
      </x:c>
      <x:c r="E6" s="4">
        <x:f t="shared" si="0"/>
      </x:c>
      <x:c r="F6" s="4">
        <x:f t="shared" si="1"/>
      </x:c>
      <x:c r="G6" s="4"/>
      <x:c r="H6" s="11"/>
      <x:c r="I6" s="255" t="str">
        <x:f>TEXT('Cohort Analysis'!$B$20,"mmm yyyy")</x:f>
        <x:v>May 2026</x:v>
      </x:c>
      <x:c r="J6" s="257" t="n">
        <x:f>'Cohort Analysis'!$C$20</x:f>
        <x:v>1180</x:v>
      </x:c>
      <x:c r="K6" s="4"/>
      <x:c r="L6" s="11"/>
      <x:c r="M6" s="4"/>
      <x:c r="N6" s="4"/>
      <x:c r="O6" s="4"/>
      <x:c r="P6" s="4"/>
      <x:c r="Q6" s="6"/>
      <x:c r="R6" s="4"/>
      <x:c r="S6" s="4"/>
      <x:c r="T6" s="4"/>
    </x:row>
    <x:row r="7">
      <x:c r="A7" s="255" t="str">
        <x:f>TEXT('Cohort Analysis'!$B$21,"mmm yyyy")</x:f>
        <x:v>Jun 2026</x:v>
      </x:c>
      <x:c r="B7" s="256" t="n">
        <x:f>'Cohort Analysis'!$E$21</x:f>
        <x:v>0</x:v>
      </x:c>
      <x:c r="C7" s="256" t="n">
        <x:f>'Cohort Analysis'!$G$21</x:f>
        <x:v>0</x:v>
      </x:c>
      <x:c r="D7" s="257" t="n">
        <x:f>'Cohort Analysis'!$C$21</x:f>
        <x:v>980</x:v>
      </x:c>
      <x:c r="E7" s="4">
        <x:f t="shared" si="0"/>
      </x:c>
      <x:c r="F7" s="4">
        <x:f t="shared" si="1"/>
      </x:c>
      <x:c r="G7" s="4"/>
      <x:c r="H7" s="11"/>
      <x:c r="I7" s="255" t="str">
        <x:f>TEXT('Cohort Analysis'!$B$21,"mmm yyyy")</x:f>
        <x:v>Jun 2026</x:v>
      </x:c>
      <x:c r="J7" s="257" t="n">
        <x:f>'Cohort Analysis'!$C$21</x:f>
        <x:v>980</x:v>
      </x:c>
      <x:c r="K7" s="4"/>
      <x:c r="L7" s="11"/>
      <x:c r="M7" s="4"/>
      <x:c r="N7" s="4"/>
      <x:c r="O7" s="4"/>
      <x:c r="P7" s="4"/>
      <x:c r="Q7" s="4"/>
      <x:c r="R7" s="4"/>
      <x:c r="S7" s="4"/>
      <x:c r="T7" s="4"/>
    </x:row>
    <x:row r="8">
      <x:c r="A8" s="4"/>
      <x:c r="B8" s="7"/>
      <x:c r="C8" s="7"/>
      <x:c r="D8" s="7"/>
      <x:c r="E8" s="4"/>
      <x:c r="F8" s="4">
        <x:f t="shared" si="1"/>
      </x:c>
      <x:c r="G8" s="4"/>
      <x:c r="H8" s="11"/>
      <x:c r="I8" s="4"/>
      <x:c r="J8" s="4"/>
      <x:c r="K8" s="4"/>
      <x:c r="L8" s="11"/>
      <x:c r="M8" s="4"/>
      <x:c r="N8" s="4"/>
      <x:c r="O8" s="4"/>
      <x:c r="P8" s="4"/>
      <x:c r="Q8" s="4"/>
      <x:c r="R8" s="4"/>
      <x:c r="S8" s="4"/>
      <x:c r="T8" s="4"/>
    </x:row>
    <x:row r="9">
      <x:c r="A9" s="4"/>
      <x:c r="B9" s="10"/>
      <x:c r="C9" s="10"/>
      <x:c r="D9" s="10"/>
      <x:c r="E9" s="4"/>
      <x:c r="F9" s="4">
        <x:f t="shared" si="1"/>
      </x:c>
      <x:c r="G9" s="4"/>
      <x:c r="H9" s="11"/>
      <x:c r="I9" s="4"/>
      <x:c r="J9" s="4"/>
      <x:c r="K9" s="4"/>
      <x:c r="L9" s="11"/>
      <x:c r="M9" s="4"/>
      <x:c r="N9" s="4"/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/>
      <x:c r="I10" s="4"/>
      <x:c r="J10" s="4"/>
      <x:c r="K10" s="4"/>
      <x:c r="L10" s="11"/>
      <x:c r="M10" s="4"/>
      <x:c r="N10" s="4"/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/>
      <x:c r="I11" s="4"/>
      <x:c r="J11" s="4"/>
      <x:c r="K11" s="4"/>
      <x:c r="L11" s="11"/>
      <x:c r="M11" s="4"/>
      <x:c r="N11" s="4"/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/>
      <x:c r="I12" s="4"/>
      <x:c r="J12" s="4"/>
      <x:c r="K12" s="4"/>
      <x:c r="L12" s="11"/>
      <x:c r="M12" s="4"/>
      <x:c r="N12" s="4"/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/>
      <x:c r="I13" s="4"/>
      <x:c r="J13" s="4"/>
      <x:c r="K13" s="4"/>
      <x:c r="L13" s="11"/>
      <x:c r="M13" s="4"/>
      <x:c r="N13" s="4"/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42" hidden="0" customWidth="1"/>
    <x:col min="4" max="4" width="40" hidden="0" customWidth="1"/>
    <x:col min="5" max="5" width="34" hidden="0" customWidth="1"/>
    <x:col min="6" max="6" width="34" hidden="0" customWidth="1"/>
    <x:col min="7" max="7" width="34" hidden="0" customWidth="1"/>
    <x:col min="8" max="8" width="36" hidden="0" customWidth="1"/>
  </x:cols>
  <x:sheetData>
    <x:row r="2" ht="24" customHeight="1">
      <x:c r="B2" s="192" t="str">
        <x:v>Marketplace Analytics — Audit &amp; Plan</x:v>
      </x:c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</x:row>
    <x:row r="3" ht="24" customHeight="1">
      <x:c r="B3" s="194" t="str">
        <x:v>Tahap pra-coding: temuan struktur project dan rencana Cohort Analysis</x:v>
      </x:c>
      <x:c r="C3" s="194"/>
      <x:c r="D3" s="194"/>
      <x:c r="E3" s="194"/>
      <x:c r="F3" s="194"/>
      <x:c r="G3" s="194"/>
      <x:c r="H3" s="194"/>
      <x:c r="I3" s="194"/>
      <x:c r="J3" s="194"/>
      <x:c r="K3" s="194"/>
      <x:c r="L3" s="194"/>
      <x:c r="M3" s="194"/>
      <x:c r="N3" s="194"/>
      <x:c r="O3" s="194"/>
      <x:c r="P3" s="194"/>
      <x:c r="Q3" s="194"/>
    </x:row>
    <x:row r="4" ht="24" customHeight="1">
      <x:c r="B4" s="196" t="str">
        <x:v>Sumber audit: local Laravel project /Users/ariefmuhamad/Herd/gfid-dev; working tree edits unrelated preserved.</x:v>
      </x:c>
      <x:c r="C4" s="196"/>
      <x:c r="D4" s="196"/>
      <x:c r="E4" s="196"/>
      <x:c r="F4" s="196"/>
      <x:c r="G4" s="196"/>
      <x:c r="H4" s="196"/>
      <x:c r="I4" s="196"/>
      <x:c r="J4" s="196"/>
      <x:c r="K4" s="196"/>
      <x:c r="L4" s="196"/>
      <x:c r="M4" s="196"/>
      <x:c r="N4" s="196"/>
      <x:c r="O4" s="196"/>
      <x:c r="P4" s="196"/>
      <x:c r="Q4" s="196"/>
    </x:row>
    <x:row r="6">
      <x:c r="B6" s="198" t="str">
        <x:v>AUDIT FINDINGS</x:v>
      </x:c>
      <x:c r="C6" s="198"/>
      <x:c r="D6" s="198"/>
      <x:c r="E6" s="198"/>
      <x:c r="F6" s="198"/>
      <x:c r="G6" s="198"/>
      <x:c r="H6" s="198"/>
    </x:row>
    <x:row r="7">
      <x:c r="B7" s="158" t="str">
        <x:v>Area</x:v>
      </x:c>
      <x:c r="C7" s="158" t="str">
        <x:v>Status</x:v>
      </x:c>
      <x:c r="D7" s="158" t="str">
        <x:v>Evidence / file</x:v>
      </x:c>
      <x:c r="E7" s="158" t="str">
        <x:v>What exists</x:v>
      </x:c>
      <x:c r="F7" s="158" t="str">
        <x:v>Cohort implication</x:v>
      </x:c>
      <x:c r="G7" s="158" t="str">
        <x:v>Action before coding</x:v>
      </x:c>
      <x:c r="H7" s="158" t="str">
        <x:v>Risk</x:v>
      </x:c>
    </x:row>
    <x:row r="8">
      <x:c r="B8" s="169" t="str">
        <x:v>Route</x:v>
      </x:c>
      <x:c r="C8" s="207" t="str">
        <x:v>Confirmed</x:v>
      </x:c>
      <x:c r="D8" s="169" t="str">
        <x:v>routes/web.php:113</x:v>
      </x:c>
      <x:c r="E8" s="169" t="str">
        <x:v>GET /marketplace/analytics → MarketplaceController::analytics</x:v>
      </x:c>
      <x:c r="F8" s="169" t="str">
        <x:v>Existing page can keep behavior; cohort can be a tab/view state.</x:v>
      </x:c>
      <x:c r="G8" s="169" t="str">
        <x:v>Choose query parameter vs separate route after tab architecture review.</x:v>
      </x:c>
      <x:c r="H8" s="169" t="str">
        <x:v>Separate route may duplicate filters/layout.</x:v>
      </x:c>
    </x:row>
    <x:row r="9">
      <x:c r="B9" s="169" t="str">
        <x:v>Controller</x:v>
      </x:c>
      <x:c r="C9" s="207" t="str">
        <x:v>Confirmed</x:v>
      </x:c>
      <x:c r="D9" s="169" t="str">
        <x:v>app/Http/Controllers/MarketplaceController.php:110-153</x:v>
      </x:c>
      <x:c r="E9" s="169" t="str">
        <x:v>analytics() forwards date_from/date_to/store_id/compare_mode; API methods validate inputs.</x:v>
      </x:c>
      <x:c r="F9" s="169" t="str">
        <x:v>Add thin cohort methods only; keep controller free of query logic.</x:v>
      </x:c>
      <x:c r="G9" s="169" t="str">
        <x:v>Introduce MarketplaceCohortService and request validation.</x:v>
      </x:c>
      <x:c r="H9" s="169" t="str">
        <x:v>Existing controller is already broad.</x:v>
      </x:c>
    </x:row>
    <x:row r="10">
      <x:c r="B10" s="169" t="str">
        <x:v>Service/query</x:v>
      </x:c>
      <x:c r="C10" s="207" t="str">
        <x:v>Confirmed</x:v>
      </x:c>
      <x:c r="D10" s="169" t="str">
        <x:v>app/Services/Marketplace/MarketplaceAnalyticsSummaryService.php; MarketplaceProfitReportService.php</x:v>
      </x:c>
      <x:c r="E10" s="169" t="str">
        <x:v>Aggregates orders, settlements, HPP, returns, ads; product detail uses profit report.</x:v>
      </x:c>
      <x:c r="F10" s="169" t="str">
        <x:v>Reuse status/financial basis; add cohort-specific GROUP BY aggregation.</x:v>
      </x:c>
      <x:c r="G10" s="169" t="str">
        <x:v>Map existing filters and data-quality rules into service.</x:v>
      </x:c>
      <x:c r="H10" s="169" t="str">
        <x:v>Different revenue bases can change cohort totals.</x:v>
      </x:c>
    </x:row>
    <x:row r="11">
      <x:c r="B11" s="169" t="str">
        <x:v>Blade/component</x:v>
      </x:c>
      <x:c r="C11" s="207" t="str">
        <x:v>Confirmed</x:v>
      </x:c>
      <x:c r="D11" s="169" t="str">
        <x:v>resources/views/marketplace/analytics.blade.php:330-490</x:v>
      </x:c>
      <x:c r="E11" s="169" t="str">
        <x:v>Hero controls: store/date/compare; client tabs: Ringkasan, Akun &amp; Biaya, Produk; API fetches.</x:v>
      </x:c>
      <x:c r="F11" s="169" t="str">
        <x:v>Add Cohort tab and nested Customer/Product selector; no sidebar item.</x:v>
      </x:c>
      <x:c r="G11" s="169" t="str">
        <x:v>Follow existing card/table/modal pattern.</x:v>
      </x:c>
      <x:c r="H11" s="169" t="str">
        <x:v>Current tab names differ from requested English labels.</x:v>
      </x:c>
    </x:row>
    <x:row r="12">
      <x:c r="B12" s="169" t="str">
        <x:v>Customer/buyer</x:v>
      </x:c>
      <x:c r="C12" s="207" t="str">
        <x:v>Gap / validate</x:v>
      </x:c>
      <x:c r="D12" s="169" t="str">
        <x:v>marketplace_orders.customer_id, buyer_username, buyer_name, buyer_phone, raw_json</x:v>
      </x:c>
      <x:c r="E12" s="169" t="str">
        <x:v>Potential buyer identifiers exist, but canonical cross-marketplace identity is not proven.</x:v>
      </x:c>
      <x:c r="F12" s="169" t="str">
        <x:v>Retention needs stable unique buyer key; avoid phone/name as default without privacy rule.</x:v>
      </x:c>
      <x:c r="G12" s="169" t="str">
        <x:v>Profile observed buyer identifiers and define fallback/dedupe policy.</x:v>
      </x:c>
      <x:c r="H12" s="169" t="str">
        <x:v>Anonymous/changed buyer IDs can bias retention.</x:v>
      </x:c>
    </x:row>
    <x:row r="13">
      <x:c r="B13" s="169" t="str">
        <x:v>Product/SKU/category</x:v>
      </x:c>
      <x:c r="C13" s="207" t="str">
        <x:v>Available / partial</x:v>
      </x:c>
      <x:c r="D13" s="169" t="str">
        <x:v>marketplace_order_items: internal_item_id, item_code_snapshot, model_sku, item_sku, external_sku, marketplace_sku; Item has item_category_id/product_category_id</x:v>
      </x:c>
      <x:c r="E13" s="169" t="str">
        <x:v>SKU and internal item fields exist; category is likely joinable through Item/ItemCategory.</x:v>
      </x:c>
      <x:c r="F13" s="169" t="str">
        <x:v>Product cohort can run by SKU/product; category requires explicit join and fallback.</x:v>
      </x:c>
      <x:c r="G13" s="169" t="str">
        <x:v>Verify joins and missing mapping coverage.</x:v>
      </x:c>
      <x:c r="H13" s="169" t="str">
        <x:v>One order item may expose multiple SKU conventions.</x:v>
      </x:c>
    </x:row>
    <x:row r="14">
      <x:c r="B14" s="169" t="str">
        <x:v>Revenue/HPP/fee/ads</x:v>
      </x:c>
      <x:c r="C14" s="207" t="str">
        <x:v>Available / quality-gated</x:v>
      </x:c>
      <x:c r="D14" s="169" t="str">
        <x:v>MarketplaceOrderSettlement fields; item hpp_snapshot; ads tables/service</x:v>
      </x:c>
      <x:c r="E14" s="169" t="str">
        <x:v>Summary/profit services calculate payout, HPP, fees, ad cost with data quality filters.</x:v>
      </x:c>
      <x:c r="F14" s="169" t="str">
        <x:v>Product cohort can show GP/GM/net only where coverage is complete.</x:v>
      </x:c>
      <x:c r="G14" s="169" t="str">
        <x:v>Reuse verified financial basis and disclose blanks.</x:v>
      </x:c>
      <x:c r="H14" s="169" t="str">
        <x:v>Net profit may be estimated or incomplete.</x:v>
      </x:c>
    </x:row>
    <x:row r="15">
      <x:c r="B15" s="169" t="str">
        <x:v>Indexes</x:v>
      </x:c>
      <x:c r="C15" s="207" t="str">
        <x:v>Recommend audit</x:v>
      </x:c>
      <x:c r="D15" s="169" t="str">
        <x:v>migrations/2025_12_04_*; 2026_08_26_000003; mapping/data-status indexes</x:v>
      </x:c>
      <x:c r="E15" s="169" t="str">
        <x:v>Indexes exist for store/date, ordered_at/status, settlement scope, SKU/data status; buyer/SKU composite coverage needs EXPLAIN review.</x:v>
      </x:c>
      <x:c r="F15" s="169" t="str">
        <x:v>Cohort queries must be bounded by date and grouped in SQL.</x:v>
      </x:c>
      <x:c r="G15" s="169" t="str">
        <x:v>Run EXPLAIN on candidate cohort query before adding any migration.</x:v>
      </x:c>
      <x:c r="H15" s="169" t="str">
        <x:v>Hundreds of thousands of rows may need composite index.</x:v>
      </x:c>
    </x:row>
    <x:row r="16">
      <x:c r="B16" s="169" t="str">
        <x:v>Working tree</x:v>
      </x:c>
      <x:c r="C16" s="207" t="str">
        <x:v>Caution</x:v>
      </x:c>
      <x:c r="D16" s="169" t="str">
        <x:v>git status --short</x:v>
      </x:c>
      <x:c r="E16" s="169" t="str">
        <x:v>Unrelated payroll/sidebar/view edits are present.</x:v>
      </x:c>
      <x:c r="F16" s="169" t="str">
        <x:v>Do not overwrite or restyle application files as part of cohort work.</x:v>
      </x:c>
      <x:c r="G16" s="169" t="str">
        <x:v>Isolate future implementation changes and review diffs.</x:v>
      </x:c>
      <x:c r="H16" s="169" t="str">
        <x:v>Concurrent work can cause merge conflicts.</x:v>
      </x:c>
    </x:row>
    <x:row r="17">
      <x:c r="B17" s="208"/>
      <x:c r="C17" s="208"/>
      <x:c r="D17" s="208"/>
      <x:c r="E17" s="208"/>
      <x:c r="F17" s="208"/>
      <x:c r="G17" s="208"/>
      <x:c r="H17" s="208"/>
    </x:row>
    <x:row r="18">
      <x:c r="B18" s="208"/>
      <x:c r="C18" s="208"/>
      <x:c r="D18" s="208"/>
      <x:c r="E18" s="208"/>
      <x:c r="F18" s="208"/>
      <x:c r="G18" s="208"/>
      <x:c r="H18" s="208"/>
    </x:row>
    <x:row r="19">
      <x:c r="B19" s="209" t="str">
        <x:v>FORMULAS &amp; IMPLEMENTATION PLAN</x:v>
      </x:c>
      <x:c r="C19" s="209"/>
      <x:c r="D19" s="209"/>
      <x:c r="E19" s="209"/>
      <x:c r="F19" s="209"/>
      <x:c r="G19" s="209"/>
      <x:c r="H19" s="209"/>
    </x:row>
    <x:row r="20">
      <x:c r="B20" s="158" t="str">
        <x:v>Topic</x:v>
      </x:c>
      <x:c r="C20" s="158" t="str">
        <x:v>Formula / decision</x:v>
      </x:c>
      <x:c r="D20" s="158" t="str">
        <x:v>Backend target</x:v>
      </x:c>
      <x:c r="E20" s="158" t="str">
        <x:v>UI target</x:v>
      </x:c>
      <x:c r="F20" s="158" t="str">
        <x:v>Drilldown</x:v>
      </x:c>
      <x:c r="G20" s="158" t="str">
        <x:v>Performance</x:v>
      </x:c>
      <x:c r="H20" s="158" t="str">
        <x:v>Open ambiguity</x:v>
      </x:c>
    </x:row>
    <x:row r="21">
      <x:c r="B21" s="169" t="str">
        <x:v>Customer cohort</x:v>
      </x:c>
      <x:c r="C21" s="169" t="str">
        <x:v>cohort_month = month(first valid transaction per buyer); period_index = month(period) − month(cohort_month).</x:v>
      </x:c>
      <x:c r="D21" s="169" t="str">
        <x:v>MarketplaceCohortService::getCustomerCohort(filters, metric)</x:v>
      </x:c>
      <x:c r="E21" s="169" t="str">
        <x:v>Cohort tab → Customer Cohort; metric selector.</x:v>
      </x:c>
      <x:c r="F21" s="169" t="str">
        <x:v>Cohort + period detail: customers/orders/qty/revenue.</x:v>
      </x:c>
      <x:c r="G21" s="169" t="str">
        <x:v>COUNT DISTINCT + conditional aggregation; bounded date range.</x:v>
      </x:c>
      <x:c r="H21" s="169" t="str">
        <x:v>Canonical buyer key and valid order statuses.</x:v>
      </x:c>
    </x:row>
    <x:row r="22">
      <x:c r="B22" s="169" t="str">
        <x:v>Retention %</x:v>
      </x:c>
      <x:c r="C22" s="169" t="str">
        <x:v>unique returning customers in cell / unique customers in M0; M0 = 100% when base &gt; 0.</x:v>
      </x:c>
      <x:c r="D22" s="169" t="str">
        <x:v>Aggregate distinct buyer keys in SQL.</x:v>
      </x:c>
      <x:c r="E22" s="169" t="str">
        <x:v>Heatmap/table; blank for unavailable future periods.</x:v>
      </x:c>
      <x:c r="F22" s="169" t="str">
        <x:v>Drawer/modal if existing pattern is reusable.</x:v>
      </x:c>
      <x:c r="G22" s="169" t="str">
        <x:v>Avoid loading all transactions into PHP/browser.</x:v>
      </x:c>
      <x:c r="H22" s="169" t="str">
        <x:v>Whether returns/cancelled orders are excluded.</x:v>
      </x:c>
    </x:row>
    <x:row r="23">
      <x:c r="B23" s="169" t="str">
        <x:v>Product cohort</x:v>
      </x:c>
      <x:c r="C23" s="169" t="str">
        <x:v>cohort_month = month(first valid transaction per product/SKU); period_index as above.</x:v>
      </x:c>
      <x:c r="D23" s="169" t="str">
        <x:v>MarketplaceCohortService::getProductCohort(filters, metric)</x:v>
      </x:c>
      <x:c r="E23" s="169" t="str">
        <x:v>Product Cohort → Product/SKU/Category lens.</x:v>
      </x:c>
      <x:c r="F23" s="169" t="str">
        <x:v>Product/SKU + period: qty/revenue/HPP/GP.</x:v>
      </x:c>
      <x:c r="G23" s="169" t="str">
        <x:v>Group by SKU/product/category; no N+1.</x:v>
      </x:c>
      <x:c r="H23" s="169" t="str">
        <x:v>Product identity when mapping is incomplete.</x:v>
      </x:c>
    </x:row>
    <x:row r="24">
      <x:c r="B24" s="169" t="str">
        <x:v>Profit formula</x:v>
      </x:c>
      <x:c r="C24" s="169" t="str">
        <x:v>gross_profit = revenue − marketplace_fee − HPP; net_profit = gross_profit − ads when coverage is complete.</x:v>
      </x:c>
      <x:c r="D24" s="169" t="str">
        <x:v>Reuse payout/HPP/fee/ads rules from current profit service.</x:v>
      </x:c>
      <x:c r="E24" s="169" t="str">
        <x:v>Show status/coverage note beside profit metrics.</x:v>
      </x:c>
      <x:c r="F24" s="169" t="str">
        <x:v>Detail includes HPP, gross profit, and source quality.</x:v>
      </x:c>
      <x:c r="G24" s="169" t="str">
        <x:v>Aggregate once; allocate only where current service already does.</x:v>
      </x:c>
      <x:c r="H24" s="169" t="str">
        <x:v>Revenue basis: gross sales vs payout.</x:v>
      </x:c>
    </x:row>
    <x:row r="25">
      <x:c r="B25" s="169" t="str">
        <x:v>Route choice</x:v>
      </x:c>
      <x:c r="C25" s="169" t="str">
        <x:v>Preferred in this audit: /marketplace/analytics?view=cohort to preserve current route and filters; separate GET only if product architecture requires it.</x:v>
      </x:c>
      <x:c r="D25" s="169" t="str">
        <x:v>Add route only after confirming UI architecture.</x:v>
      </x:c>
      <x:c r="E25" s="169" t="str">
        <x:v>Tabs: Overview | Product Performance | Cohort | Profitability; no new sidebar menu.</x:v>
      </x:c>
      <x:c r="F25" s="169" t="str">
        <x:v>Use existing modal/drawer pattern if present.</x:v>
      </x:c>
      <x:c r="G25" s="169" t="str">
        <x:v>Reuse filters and service payload shape.</x:v>
      </x:c>
      <x:c r="H25" s="169" t="str">
        <x:v>Requested English tab labels vs current Indonesian labels.</x:v>
      </x:c>
    </x:row>
    <x:row r="26">
      <x:c r="B26" s="169" t="str">
        <x:v>No migration first</x:v>
      </x:c>
      <x:c r="C26" s="169" t="str">
        <x:v>Do not create migration until data/key/index audit proves a gap.</x:v>
      </x:c>
      <x:c r="D26" s="169" t="str">
        <x:v>Service/query first; add indexes only after EXPLAIN.</x:v>
      </x:c>
      <x:c r="E26" s="169" t="str">
        <x:v>No behavior change to Overview/Product/Profitability.</x:v>
      </x:c>
      <x:c r="F26" s="169" t="str">
        <x:v>Feature-gated tab if needed.</x:v>
      </x:c>
      <x:c r="G26" s="169" t="str">
        <x:v>Date/store/category/SKU filters must be SQL-side.</x:v>
      </x:c>
      <x:c r="H26" s="169" t="str">
        <x:v>Live schema may differ across environments.</x:v>
      </x:c>
    </x:row>
    <x:row r="27">
      <x:c r="B27" s="169" t="str">
        <x:v>Verification</x:v>
      </x:c>
      <x:c r="C27" s="169" t="str">
        <x:v>Reconcile cohort totals to existing summary/product outputs for same filters.</x:v>
      </x:c>
      <x:c r="D27" s="169" t="str">
        <x:v>Feature tests for first-purchase, dedupe, date boundary, missing buyer/SKU.</x:v>
      </x:c>
      <x:c r="E27" s="169" t="str">
        <x:v>Responsive desktop/mobile table and heatmap.</x:v>
      </x:c>
      <x:c r="F27" s="169" t="str">
        <x:v>Cell click returns the same filtered aggregate.</x:v>
      </x:c>
      <x:c r="G27" s="169" t="str">
        <x:v>Benchmark at 100k+ order rows.</x:v>
      </x:c>
      <x:c r="H27" s="169" t="str">
        <x:v>Need representative production-like fixtures.</x:v>
      </x:c>
    </x:row>
  </x:sheetData>
  <x:mergeCells>
    <x:mergeCell ref="B2:Q2"/>
    <x:mergeCell ref="B3:Q3"/>
    <x:mergeCell ref="B4:Q4"/>
    <x:mergeCell ref="B19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3" hidden="0" customWidth="1"/>
    <x:col min="4" max="4" width="11" hidden="0" customWidth="1"/>
    <x:col min="5" max="5" width="15" hidden="0" customWidth="1"/>
    <x:col min="6" max="6" width="20" hidden="0" customWidth="1"/>
    <x:col min="7" max="7" width="13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1" hidden="0" customWidth="1"/>
    <x:col min="14" max="14" width="11" hidden="0" customWidth="1"/>
    <x:col min="15" max="15" width="14" hidden="0" customWidth="1"/>
    <x:col min="16" max="16" width="14" hidden="0" customWidth="1"/>
    <x:col min="17" max="17" width="16" hidden="0" customWidth="1"/>
    <x:col min="18" max="18" width="11" hidden="0" customWidth="1"/>
    <x:col min="19" max="19" width="14" hidden="0" customWidth="1"/>
    <x:col min="20" max="20" width="14" hidden="0" customWidth="1"/>
    <x:col min="21" max="21" width="13" hidden="0" customWidth="1"/>
  </x:cols>
  <x:sheetData>
    <x:row r="2" ht="24" customHeight="1">
      <x:c r="B2" s="192" t="str">
        <x:v>Marketplace Analytics — Cohort Input</x:v>
      </x:c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</x:row>
    <x:row r="3" ht="24" customHeight="1">
      <x:c r="B3" s="194" t="str">
        <x:v>SQL-aggregated extract contract for Customer and Product Cohort</x:v>
      </x:c>
      <x:c r="C3" s="194"/>
      <x:c r="D3" s="194"/>
      <x:c r="E3" s="194"/>
      <x:c r="F3" s="194"/>
      <x:c r="G3" s="194"/>
      <x:c r="H3" s="194"/>
      <x:c r="I3" s="194"/>
      <x:c r="J3" s="194"/>
      <x:c r="K3" s="194"/>
      <x:c r="L3" s="194"/>
      <x:c r="M3" s="194"/>
      <x:c r="N3" s="194"/>
      <x:c r="O3" s="194"/>
      <x:c r="P3" s="194"/>
      <x:c r="Q3" s="194"/>
      <x:c r="R3" s="194"/>
      <x:c r="S3" s="194"/>
      <x:c r="T3" s="194"/>
    </x:row>
    <x:row r="4" ht="24" customHeight="1">
      <x:c r="B4" s="196" t="str">
        <x:v>Synthetic illustrative sample only. Replace yellow input cells with real service output; no project transaction data was embedded.</x:v>
      </x:c>
      <x:c r="C4" s="196"/>
      <x:c r="D4" s="196"/>
      <x:c r="E4" s="196"/>
      <x:c r="F4" s="196"/>
      <x:c r="G4" s="196"/>
      <x:c r="H4" s="196"/>
      <x:c r="I4" s="196"/>
      <x:c r="J4" s="196"/>
      <x:c r="K4" s="196"/>
      <x:c r="L4" s="196"/>
      <x:c r="M4" s="196"/>
      <x:c r="N4" s="196"/>
      <x:c r="O4" s="196"/>
      <x:c r="P4" s="196"/>
      <x:c r="Q4" s="196"/>
      <x:c r="R4" s="196"/>
      <x:c r="S4" s="196"/>
      <x:c r="T4" s="196"/>
    </x:row>
    <x:row r="6">
      <x:c r="B6" s="198" t="str">
        <x:v>HOW TO USE</x:v>
      </x:c>
      <x:c r="C6" s="198"/>
      <x:c r="D6" s="198"/>
      <x:c r="E6" s="198"/>
      <x:c r="F6" s="198"/>
      <x:c r="G6" s="198"/>
      <x:c r="H6" s="198"/>
      <x:c r="I6" s="198"/>
      <x:c r="J6" s="198"/>
      <x:c r="K6" s="198"/>
      <x:c r="L6" s="198"/>
      <x:c r="M6" s="198"/>
      <x:c r="N6" s="198"/>
      <x:c r="O6" s="198"/>
      <x:c r="P6" s="198"/>
      <x:c r="Q6" s="198"/>
      <x:c r="R6" s="198"/>
      <x:c r="S6" s="198"/>
      <x:c r="T6" s="198"/>
    </x:row>
    <x:row r="7">
      <x:c r="B7" s="212" t="str">
        <x:v>One row = one cohort × period × dimension slice. Keep Cohort Month and Period Month as real month-start dates. Formula columns Gross Profit and Net Profit recalculate.</x:v>
      </x:c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  <x:c r="P7" s="212"/>
      <x:c r="Q7" s="212"/>
      <x:c r="R7" s="212"/>
      <x:c r="S7" s="212"/>
      <x:c r="T7" s="212"/>
    </x:row>
    <x:row r="9">
      <x:c r="B9" s="200" t="str">
        <x:v>DATA STATUS / FILTER VALUES</x:v>
      </x:c>
      <x:c r="C9" s="200"/>
      <x:c r="D9" s="200"/>
      <x:c r="E9" s="200"/>
      <x:c r="F9" s="200"/>
      <x:c r="G9" s="200"/>
      <x:c r="H9" s="200"/>
      <x:c r="I9" s="200"/>
      <x:c r="J9" s="200"/>
      <x:c r="K9" s="200"/>
      <x:c r="L9" s="200"/>
      <x:c r="M9" s="200"/>
      <x:c r="N9" s="200"/>
      <x:c r="O9" s="200"/>
      <x:c r="P9" s="200"/>
      <x:c r="Q9" s="200"/>
      <x:c r="R9" s="200"/>
      <x:c r="S9" s="200"/>
      <x:c r="T9" s="200"/>
    </x:row>
    <x:row r="10">
      <x:c r="B10" s="158" t="str">
        <x:v>Marketplace</x:v>
      </x:c>
      <x:c r="C10" s="158" t="str">
        <x:v>Store</x:v>
      </x:c>
      <x:c r="D10" s="158" t="str">
        <x:v>Category</x:v>
      </x:c>
      <x:c r="E10" s="158" t="str">
        <x:v>Product</x:v>
      </x:c>
      <x:c r="F10" s="158" t="str">
        <x:v>SKU</x:v>
      </x:c>
      <x:c r="G10" s="158" t="str">
        <x:v>Metric / notes</x:v>
      </x:c>
    </x:row>
    <x:row r="11">
      <x:c r="B11" s="165" t="str">
        <x:v>All</x:v>
      </x:c>
      <x:c r="C11" s="165" t="str">
        <x:v>All</x:v>
      </x:c>
      <x:c r="D11" s="165" t="str">
        <x:v>All</x:v>
      </x:c>
      <x:c r="E11" s="165" t="str">
        <x:v>All</x:v>
      </x:c>
      <x:c r="F11" s="165" t="str">
        <x:v>All</x:v>
      </x:c>
      <x:c r="G11" s="165" t="str">
        <x:v>Filters are represented in Cohort Analysis controls.</x:v>
      </x:c>
    </x:row>
    <x:row r="12">
      <x:c r="B12" s="165" t="str">
        <x:v>Data Status</x:v>
      </x:c>
      <x:c r="C12" s="165" t="str">
        <x:v>valid / incomplete</x:v>
      </x:c>
      <x:c r="D12" s="165" t="str">
        <x:v>Revenue</x:v>
      </x:c>
      <x:c r="E12" s="165" t="str">
        <x:v>HPP</x:v>
      </x:c>
      <x:c r="F12" s="165" t="str">
        <x:v>Fee</x:v>
      </x:c>
      <x:c r="G12" s="165" t="str">
        <x:v>Keep blanks for unknown values; do not invent zeroes.</x:v>
      </x:c>
    </x:row>
    <x:row r="14">
      <x:c r="B14" s="198" t="str">
        <x:v>COHORT EXTRACT — EDIT YELLOW CELLS</x:v>
      </x:c>
      <x:c r="C14" s="198"/>
      <x:c r="D14" s="198"/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  <x:c r="O14" s="198"/>
      <x:c r="P14" s="198"/>
      <x:c r="Q14" s="198"/>
      <x:c r="R14" s="198"/>
      <x:c r="S14" s="198"/>
      <x:c r="T14" s="198"/>
    </x:row>
    <x:row r="15" ht="20" customHeight="1">
      <x:c r="B15" s="158" t="str">
        <x:v>Cohort Type</x:v>
      </x:c>
      <x:c r="C15" s="158" t="str">
        <x:v>Cohort Month</x:v>
      </x:c>
      <x:c r="D15" s="158" t="str">
        <x:v>Period Index</x:v>
      </x:c>
      <x:c r="E15" s="158" t="str">
        <x:v>Dimension</x:v>
      </x:c>
      <x:c r="F15" s="158" t="str">
        <x:v>Product</x:v>
      </x:c>
      <x:c r="G15" s="158" t="str">
        <x:v>SKU</x:v>
      </x:c>
      <x:c r="H15" s="158" t="str">
        <x:v>Category</x:v>
      </x:c>
      <x:c r="I15" s="158" t="str">
        <x:v>Marketplace</x:v>
      </x:c>
      <x:c r="J15" s="158" t="str">
        <x:v>Period Month</x:v>
      </x:c>
      <x:c r="K15" s="158" t="str">
        <x:v>Active Customers</x:v>
      </x:c>
      <x:c r="L15" s="158" t="str">
        <x:v>Orders</x:v>
      </x:c>
      <x:c r="M15" s="158" t="str">
        <x:v>Qty Sold</x:v>
      </x:c>
      <x:c r="N15" s="158" t="str">
        <x:v>Revenue</x:v>
      </x:c>
      <x:c r="O15" s="158" t="str">
        <x:v>HPP</x:v>
      </x:c>
      <x:c r="P15" s="158" t="str">
        <x:v>Marketplace Fee</x:v>
      </x:c>
      <x:c r="Q15" s="158" t="str">
        <x:v>Ads</x:v>
      </x:c>
      <x:c r="R15" s="158" t="str">
        <x:v>Gross Profit</x:v>
      </x:c>
      <x:c r="S15" s="158" t="str">
        <x:v>Net Profit</x:v>
      </x:c>
      <x:c r="T15" s="158" t="str">
        <x:v>Store</x:v>
      </x:c>
      <x:c r="U15" s="158" t="str">
        <x:v>Data Status</x:v>
      </x:c>
    </x:row>
    <x:row r="16" ht="20" customHeight="1">
      <x:c r="B16" s="214" t="str">
        <x:v>Customer</x:v>
      </x:c>
      <x:c r="C16" s="216" t="n">
        <x:v>46023</x:v>
      </x:c>
      <x:c r="D16" s="214" t="n">
        <x:v>0</x:v>
      </x:c>
      <x:c r="E16" s="214" t="str">
        <x:v>Customer Base</x:v>
      </x:c>
      <x:c r="F16" s="214" t="str"/>
      <x:c r="G16" s="214" t="str"/>
      <x:c r="H16" s="214" t="str"/>
      <x:c r="I16" s="214" t="str">
        <x:v>All</x:v>
      </x:c>
      <x:c r="J16" s="216" t="n">
        <x:v>46023</x:v>
      </x:c>
      <x:c r="K16" s="217" t="n">
        <x:v>1240</x:v>
      </x:c>
      <x:c r="L16" s="217" t="n">
        <x:v>1463</x:v>
      </x:c>
      <x:c r="M16" s="217" t="n">
        <x:v>2077</x:v>
      </x:c>
      <x:c r="N16" s="218" t="n">
        <x:v>321860000</x:v>
      </x:c>
      <x:c r="O16" s="218" t="n">
        <x:v>135181200</x:v>
      </x:c>
      <x:c r="P16" s="218" t="n">
        <x:v>57934800</x:v>
      </x:c>
      <x:c r="Q16" s="218" t="n">
        <x:v>12874400</x:v>
      </x:c>
      <x:c r="R16" s="219" t="n">
        <x:f>IF(N16="","",N16-O16-P16)</x:f>
        <x:v>128744000</x:v>
      </x:c>
      <x:c r="S16" s="219" t="n">
        <x:f>IF(R16="","",R16-Q16)</x:f>
        <x:v>115869600</x:v>
      </x:c>
      <x:c r="T16" s="214" t="str">
        <x:v>All</x:v>
      </x:c>
      <x:c r="U16" s="214" t="str">
        <x:v>valid</x:v>
      </x:c>
    </x:row>
    <x:row r="17" ht="20" customHeight="1">
      <x:c r="B17" s="214" t="str">
        <x:v>Customer</x:v>
      </x:c>
      <x:c r="C17" s="216" t="n">
        <x:v>46023</x:v>
      </x:c>
      <x:c r="D17" s="214" t="n">
        <x:v>1</x:v>
      </x:c>
      <x:c r="E17" s="214" t="str">
        <x:v>Customer Base</x:v>
      </x:c>
      <x:c r="F17" s="214" t="str"/>
      <x:c r="G17" s="214" t="str"/>
      <x:c r="H17" s="214" t="str"/>
      <x:c r="I17" s="214" t="str">
        <x:v>All</x:v>
      </x:c>
      <x:c r="J17" s="216" t="n">
        <x:v>46054</x:v>
      </x:c>
      <x:c r="K17" s="217" t="n">
        <x:v>223</x:v>
      </x:c>
      <x:c r="L17" s="217" t="n">
        <x:v>301</x:v>
      </x:c>
      <x:c r="M17" s="217" t="n">
        <x:v>427</x:v>
      </x:c>
      <x:c r="N17" s="218" t="n">
        <x:v>66220000</x:v>
      </x:c>
      <x:c r="O17" s="218" t="n">
        <x:v>27812400</x:v>
      </x:c>
      <x:c r="P17" s="218" t="n">
        <x:v>11919600</x:v>
      </x:c>
      <x:c r="Q17" s="218" t="n">
        <x:v>2648800</x:v>
      </x:c>
      <x:c r="R17" s="219" t="n">
        <x:f>IF(N17="","",N17-O17-P17)</x:f>
        <x:v>26488000</x:v>
      </x:c>
      <x:c r="S17" s="219" t="n">
        <x:f>IF(R17="","",R17-Q17)</x:f>
        <x:v>23839200</x:v>
      </x:c>
      <x:c r="T17" s="214" t="str">
        <x:v>All</x:v>
      </x:c>
      <x:c r="U17" s="214" t="str">
        <x:v>valid</x:v>
      </x:c>
    </x:row>
    <x:row r="18" ht="20" customHeight="1">
      <x:c r="B18" s="214" t="str">
        <x:v>Customer</x:v>
      </x:c>
      <x:c r="C18" s="216" t="n">
        <x:v>46023</x:v>
      </x:c>
      <x:c r="D18" s="214" t="n">
        <x:v>2</x:v>
      </x:c>
      <x:c r="E18" s="214" t="str">
        <x:v>Customer Base</x:v>
      </x:c>
      <x:c r="F18" s="214" t="str"/>
      <x:c r="G18" s="214" t="str"/>
      <x:c r="H18" s="214" t="str"/>
      <x:c r="I18" s="214" t="str">
        <x:v>All</x:v>
      </x:c>
      <x:c r="J18" s="216" t="n">
        <x:v>46082</x:v>
      </x:c>
      <x:c r="K18" s="217" t="n">
        <x:v>161</x:v>
      </x:c>
      <x:c r="L18" s="217" t="n">
        <x:v>217</x:v>
      </x:c>
      <x:c r="M18" s="217" t="n">
        <x:v>308</x:v>
      </x:c>
      <x:c r="N18" s="218" t="n">
        <x:v>47740000</x:v>
      </x:c>
      <x:c r="O18" s="218" t="n">
        <x:v>20050800</x:v>
      </x:c>
      <x:c r="P18" s="218" t="n">
        <x:v>8593200</x:v>
      </x:c>
      <x:c r="Q18" s="218" t="n">
        <x:v>1909600</x:v>
      </x:c>
      <x:c r="R18" s="219" t="n">
        <x:f>IF(N18="","",N18-O18-P18)</x:f>
        <x:v>19096000</x:v>
      </x:c>
      <x:c r="S18" s="219" t="n">
        <x:f>IF(R18="","",R18-Q18)</x:f>
        <x:v>17186400</x:v>
      </x:c>
      <x:c r="T18" s="214" t="str">
        <x:v>All</x:v>
      </x:c>
      <x:c r="U18" s="214" t="str">
        <x:v>valid</x:v>
      </x:c>
    </x:row>
    <x:row r="19" ht="20" customHeight="1">
      <x:c r="B19" s="214" t="str">
        <x:v>Customer</x:v>
      </x:c>
      <x:c r="C19" s="216" t="n">
        <x:v>46023</x:v>
      </x:c>
      <x:c r="D19" s="214" t="n">
        <x:v>3</x:v>
      </x:c>
      <x:c r="E19" s="214" t="str">
        <x:v>Customer Base</x:v>
      </x:c>
      <x:c r="F19" s="214" t="str"/>
      <x:c r="G19" s="214" t="str"/>
      <x:c r="H19" s="214" t="str"/>
      <x:c r="I19" s="214" t="str">
        <x:v>All</x:v>
      </x:c>
      <x:c r="J19" s="216" t="n">
        <x:v>46113</x:v>
      </x:c>
      <x:c r="K19" s="217" t="n">
        <x:v>136</x:v>
      </x:c>
      <x:c r="L19" s="217" t="n">
        <x:v>184</x:v>
      </x:c>
      <x:c r="M19" s="217" t="n">
        <x:v>261</x:v>
      </x:c>
      <x:c r="N19" s="218" t="n">
        <x:v>40480000</x:v>
      </x:c>
      <x:c r="O19" s="218" t="n">
        <x:v>17001600</x:v>
      </x:c>
      <x:c r="P19" s="218" t="n">
        <x:v>7286400</x:v>
      </x:c>
      <x:c r="Q19" s="218" t="n">
        <x:v>1619200</x:v>
      </x:c>
      <x:c r="R19" s="219" t="n">
        <x:f>IF(N19="","",N19-O19-P19)</x:f>
        <x:v>16192000</x:v>
      </x:c>
      <x:c r="S19" s="219" t="n">
        <x:f>IF(R19="","",R19-Q19)</x:f>
        <x:v>14572800</x:v>
      </x:c>
      <x:c r="T19" s="214" t="str">
        <x:v>All</x:v>
      </x:c>
      <x:c r="U19" s="214" t="str">
        <x:v>valid</x:v>
      </x:c>
    </x:row>
    <x:row r="20" ht="20" customHeight="1">
      <x:c r="B20" s="214" t="str">
        <x:v>Customer</x:v>
      </x:c>
      <x:c r="C20" s="216" t="n">
        <x:v>46023</x:v>
      </x:c>
      <x:c r="D20" s="214" t="n">
        <x:v>4</x:v>
      </x:c>
      <x:c r="E20" s="214" t="str">
        <x:v>Customer Base</x:v>
      </x:c>
      <x:c r="F20" s="214" t="str"/>
      <x:c r="G20" s="214" t="str"/>
      <x:c r="H20" s="214" t="str"/>
      <x:c r="I20" s="214" t="str">
        <x:v>All</x:v>
      </x:c>
      <x:c r="J20" s="216" t="n">
        <x:v>46143</x:v>
      </x:c>
      <x:c r="K20" s="217" t="n">
        <x:v>112</x:v>
      </x:c>
      <x:c r="L20" s="217" t="n">
        <x:v>151</x:v>
      </x:c>
      <x:c r="M20" s="217" t="n">
        <x:v>214</x:v>
      </x:c>
      <x:c r="N20" s="218" t="n">
        <x:v>33220000</x:v>
      </x:c>
      <x:c r="O20" s="218" t="n">
        <x:v>13952400</x:v>
      </x:c>
      <x:c r="P20" s="218" t="n">
        <x:v>5979600</x:v>
      </x:c>
      <x:c r="Q20" s="218" t="n">
        <x:v>1328800</x:v>
      </x:c>
      <x:c r="R20" s="219" t="n">
        <x:f>IF(N20="","",N20-O20-P20)</x:f>
        <x:v>13288000</x:v>
      </x:c>
      <x:c r="S20" s="219" t="n">
        <x:f>IF(R20="","",R20-Q20)</x:f>
        <x:v>11959200</x:v>
      </x:c>
      <x:c r="T20" s="214" t="str">
        <x:v>All</x:v>
      </x:c>
      <x:c r="U20" s="214" t="str">
        <x:v>valid</x:v>
      </x:c>
    </x:row>
    <x:row r="21" ht="20" customHeight="1">
      <x:c r="B21" s="214" t="str">
        <x:v>Customer</x:v>
      </x:c>
      <x:c r="C21" s="216" t="n">
        <x:v>46023</x:v>
      </x:c>
      <x:c r="D21" s="214" t="n">
        <x:v>5</x:v>
      </x:c>
      <x:c r="E21" s="214" t="str">
        <x:v>Customer Base</x:v>
      </x:c>
      <x:c r="F21" s="214" t="str"/>
      <x:c r="G21" s="214" t="str"/>
      <x:c r="H21" s="214" t="str"/>
      <x:c r="I21" s="214" t="str">
        <x:v>All</x:v>
      </x:c>
      <x:c r="J21" s="216" t="n">
        <x:v>46174</x:v>
      </x:c>
      <x:c r="K21" s="217" t="n">
        <x:v>87</x:v>
      </x:c>
      <x:c r="L21" s="217" t="n">
        <x:v>117</x:v>
      </x:c>
      <x:c r="M21" s="217" t="n">
        <x:v>166</x:v>
      </x:c>
      <x:c r="N21" s="218" t="n">
        <x:v>25740000</x:v>
      </x:c>
      <x:c r="O21" s="218" t="n">
        <x:v>10810800</x:v>
      </x:c>
      <x:c r="P21" s="218" t="n">
        <x:v>4633200</x:v>
      </x:c>
      <x:c r="Q21" s="218" t="n">
        <x:v>1029600</x:v>
      </x:c>
      <x:c r="R21" s="219" t="n">
        <x:f>IF(N21="","",N21-O21-P21)</x:f>
        <x:v>10296000</x:v>
      </x:c>
      <x:c r="S21" s="219" t="n">
        <x:f>IF(R21="","",R21-Q21)</x:f>
        <x:v>9266400</x:v>
      </x:c>
      <x:c r="T21" s="214" t="str">
        <x:v>All</x:v>
      </x:c>
      <x:c r="U21" s="214" t="str">
        <x:v>valid</x:v>
      </x:c>
    </x:row>
    <x:row r="22" ht="20" customHeight="1">
      <x:c r="B22" s="214" t="str">
        <x:v>Customer</x:v>
      </x:c>
      <x:c r="C22" s="216" t="n">
        <x:v>46054</x:v>
      </x:c>
      <x:c r="D22" s="214" t="n">
        <x:v>0</x:v>
      </x:c>
      <x:c r="E22" s="214" t="str">
        <x:v>Customer Base</x:v>
      </x:c>
      <x:c r="F22" s="214" t="str"/>
      <x:c r="G22" s="214" t="str"/>
      <x:c r="H22" s="214" t="str"/>
      <x:c r="I22" s="214" t="str">
        <x:v>All</x:v>
      </x:c>
      <x:c r="J22" s="216" t="n">
        <x:v>46054</x:v>
      </x:c>
      <x:c r="K22" s="217" t="n">
        <x:v>1510</x:v>
      </x:c>
      <x:c r="L22" s="217" t="n">
        <x:v>1782</x:v>
      </x:c>
      <x:c r="M22" s="217" t="n">
        <x:v>2530</x:v>
      </x:c>
      <x:c r="N22" s="218" t="n">
        <x:v>392040000</x:v>
      </x:c>
      <x:c r="O22" s="218" t="n">
        <x:v>164656800</x:v>
      </x:c>
      <x:c r="P22" s="218" t="n">
        <x:v>70567200</x:v>
      </x:c>
      <x:c r="Q22" s="218" t="n">
        <x:v>15681600</x:v>
      </x:c>
      <x:c r="R22" s="219" t="n">
        <x:f>IF(N22="","",N22-O22-P22)</x:f>
        <x:v>156816000</x:v>
      </x:c>
      <x:c r="S22" s="219" t="n">
        <x:f>IF(R22="","",R22-Q22)</x:f>
        <x:v>141134400</x:v>
      </x:c>
      <x:c r="T22" s="214" t="str">
        <x:v>All</x:v>
      </x:c>
      <x:c r="U22" s="214" t="str">
        <x:v>valid</x:v>
      </x:c>
    </x:row>
    <x:row r="23" ht="20" customHeight="1">
      <x:c r="B23" s="214" t="str">
        <x:v>Customer</x:v>
      </x:c>
      <x:c r="C23" s="216" t="n">
        <x:v>46054</x:v>
      </x:c>
      <x:c r="D23" s="214" t="n">
        <x:v>1</x:v>
      </x:c>
      <x:c r="E23" s="214" t="str">
        <x:v>Customer Base</x:v>
      </x:c>
      <x:c r="F23" s="214" t="str"/>
      <x:c r="G23" s="214" t="str"/>
      <x:c r="H23" s="214" t="str"/>
      <x:c r="I23" s="214" t="str">
        <x:v>All</x:v>
      </x:c>
      <x:c r="J23" s="216" t="n">
        <x:v>46082</x:v>
      </x:c>
      <x:c r="K23" s="217" t="n">
        <x:v>317</x:v>
      </x:c>
      <x:c r="L23" s="217" t="n">
        <x:v>428</x:v>
      </x:c>
      <x:c r="M23" s="217" t="n">
        <x:v>608</x:v>
      </x:c>
      <x:c r="N23" s="218" t="n">
        <x:v>94160000</x:v>
      </x:c>
      <x:c r="O23" s="218" t="n">
        <x:v>39547200</x:v>
      </x:c>
      <x:c r="P23" s="218" t="n">
        <x:v>16948800</x:v>
      </x:c>
      <x:c r="Q23" s="218" t="n">
        <x:v>3766400</x:v>
      </x:c>
      <x:c r="R23" s="219" t="n">
        <x:f>IF(N23="","",N23-O23-P23)</x:f>
        <x:v>37664000</x:v>
      </x:c>
      <x:c r="S23" s="219" t="n">
        <x:f>IF(R23="","",R23-Q23)</x:f>
        <x:v>33897600</x:v>
      </x:c>
      <x:c r="T23" s="214" t="str">
        <x:v>All</x:v>
      </x:c>
      <x:c r="U23" s="214" t="str">
        <x:v>valid</x:v>
      </x:c>
    </x:row>
    <x:row r="24" ht="20" customHeight="1">
      <x:c r="B24" s="214" t="str">
        <x:v>Customer</x:v>
      </x:c>
      <x:c r="C24" s="216" t="n">
        <x:v>46054</x:v>
      </x:c>
      <x:c r="D24" s="214" t="n">
        <x:v>2</x:v>
      </x:c>
      <x:c r="E24" s="214" t="str">
        <x:v>Customer Base</x:v>
      </x:c>
      <x:c r="F24" s="214" t="str"/>
      <x:c r="G24" s="214" t="str"/>
      <x:c r="H24" s="214" t="str"/>
      <x:c r="I24" s="214" t="str">
        <x:v>All</x:v>
      </x:c>
      <x:c r="J24" s="216" t="n">
        <x:v>46113</x:v>
      </x:c>
      <x:c r="K24" s="217" t="n">
        <x:v>242</x:v>
      </x:c>
      <x:c r="L24" s="217" t="n">
        <x:v>327</x:v>
      </x:c>
      <x:c r="M24" s="217" t="n">
        <x:v>464</x:v>
      </x:c>
      <x:c r="N24" s="218" t="n">
        <x:v>71940000</x:v>
      </x:c>
      <x:c r="O24" s="218" t="n">
        <x:v>30214800</x:v>
      </x:c>
      <x:c r="P24" s="218" t="n">
        <x:v>12949200</x:v>
      </x:c>
      <x:c r="Q24" s="218" t="n">
        <x:v>2877600</x:v>
      </x:c>
      <x:c r="R24" s="219" t="n">
        <x:f>IF(N24="","",N24-O24-P24)</x:f>
        <x:v>28776000</x:v>
      </x:c>
      <x:c r="S24" s="219" t="n">
        <x:f>IF(R24="","",R24-Q24)</x:f>
        <x:v>25898400</x:v>
      </x:c>
      <x:c r="T24" s="214" t="str">
        <x:v>All</x:v>
      </x:c>
      <x:c r="U24" s="214" t="str">
        <x:v>valid</x:v>
      </x:c>
    </x:row>
    <x:row r="25" ht="20" customHeight="1">
      <x:c r="B25" s="214" t="str">
        <x:v>Customer</x:v>
      </x:c>
      <x:c r="C25" s="216" t="n">
        <x:v>46054</x:v>
      </x:c>
      <x:c r="D25" s="214" t="n">
        <x:v>3</x:v>
      </x:c>
      <x:c r="E25" s="214" t="str">
        <x:v>Customer Base</x:v>
      </x:c>
      <x:c r="F25" s="214" t="str"/>
      <x:c r="G25" s="214" t="str"/>
      <x:c r="H25" s="214" t="str"/>
      <x:c r="I25" s="214" t="str">
        <x:v>All</x:v>
      </x:c>
      <x:c r="J25" s="216" t="n">
        <x:v>46143</x:v>
      </x:c>
      <x:c r="K25" s="217" t="n">
        <x:v>181</x:v>
      </x:c>
      <x:c r="L25" s="217" t="n">
        <x:v>244</x:v>
      </x:c>
      <x:c r="M25" s="217" t="n">
        <x:v>346</x:v>
      </x:c>
      <x:c r="N25" s="218" t="n">
        <x:v>53680000</x:v>
      </x:c>
      <x:c r="O25" s="218" t="n">
        <x:v>22545600</x:v>
      </x:c>
      <x:c r="P25" s="218" t="n">
        <x:v>9662400</x:v>
      </x:c>
      <x:c r="Q25" s="218" t="n">
        <x:v>2147200</x:v>
      </x:c>
      <x:c r="R25" s="219" t="n">
        <x:f>IF(N25="","",N25-O25-P25)</x:f>
        <x:v>21472000</x:v>
      </x:c>
      <x:c r="S25" s="219" t="n">
        <x:f>IF(R25="","",R25-Q25)</x:f>
        <x:v>19324800</x:v>
      </x:c>
      <x:c r="T25" s="214" t="str">
        <x:v>All</x:v>
      </x:c>
      <x:c r="U25" s="214" t="str">
        <x:v>valid</x:v>
      </x:c>
    </x:row>
    <x:row r="26" ht="20" customHeight="1">
      <x:c r="B26" s="214" t="str">
        <x:v>Customer</x:v>
      </x:c>
      <x:c r="C26" s="216" t="n">
        <x:v>46054</x:v>
      </x:c>
      <x:c r="D26" s="214" t="n">
        <x:v>4</x:v>
      </x:c>
      <x:c r="E26" s="214" t="str">
        <x:v>Customer Base</x:v>
      </x:c>
      <x:c r="F26" s="214" t="str"/>
      <x:c r="G26" s="214" t="str"/>
      <x:c r="H26" s="214" t="str"/>
      <x:c r="I26" s="214" t="str">
        <x:v>All</x:v>
      </x:c>
      <x:c r="J26" s="216" t="n">
        <x:v>46174</x:v>
      </x:c>
      <x:c r="K26" s="217" t="n">
        <x:v>136</x:v>
      </x:c>
      <x:c r="L26" s="217" t="n">
        <x:v>184</x:v>
      </x:c>
      <x:c r="M26" s="217" t="n">
        <x:v>261</x:v>
      </x:c>
      <x:c r="N26" s="218" t="n">
        <x:v>40480000</x:v>
      </x:c>
      <x:c r="O26" s="218" t="n">
        <x:v>17001600</x:v>
      </x:c>
      <x:c r="P26" s="218" t="n">
        <x:v>7286400</x:v>
      </x:c>
      <x:c r="Q26" s="218" t="n">
        <x:v>1619200</x:v>
      </x:c>
      <x:c r="R26" s="219" t="n">
        <x:f>IF(N26="","",N26-O26-P26)</x:f>
        <x:v>16192000</x:v>
      </x:c>
      <x:c r="S26" s="219" t="n">
        <x:f>IF(R26="","",R26-Q26)</x:f>
        <x:v>14572800</x:v>
      </x:c>
      <x:c r="T26" s="214" t="str">
        <x:v>All</x:v>
      </x:c>
      <x:c r="U26" s="214" t="str">
        <x:v>valid</x:v>
      </x:c>
    </x:row>
    <x:row r="27" ht="20" customHeight="1">
      <x:c r="B27" s="214" t="str">
        <x:v>Customer</x:v>
      </x:c>
      <x:c r="C27" s="216" t="n">
        <x:v>46082</x:v>
      </x:c>
      <x:c r="D27" s="214" t="n">
        <x:v>0</x:v>
      </x:c>
      <x:c r="E27" s="214" t="str">
        <x:v>Customer Base</x:v>
      </x:c>
      <x:c r="F27" s="214" t="str"/>
      <x:c r="G27" s="214" t="str"/>
      <x:c r="H27" s="214" t="str"/>
      <x:c r="I27" s="214" t="str">
        <x:v>All</x:v>
      </x:c>
      <x:c r="J27" s="216" t="n">
        <x:v>46082</x:v>
      </x:c>
      <x:c r="K27" s="217" t="n">
        <x:v>1320</x:v>
      </x:c>
      <x:c r="L27" s="217" t="n">
        <x:v>1558</x:v>
      </x:c>
      <x:c r="M27" s="217" t="n">
        <x:v>2212</x:v>
      </x:c>
      <x:c r="N27" s="218" t="n">
        <x:v>342760000</x:v>
      </x:c>
      <x:c r="O27" s="218" t="n">
        <x:v>143959200</x:v>
      </x:c>
      <x:c r="P27" s="218" t="n">
        <x:v>61696800</x:v>
      </x:c>
      <x:c r="Q27" s="218" t="n">
        <x:v>13710400</x:v>
      </x:c>
      <x:c r="R27" s="219" t="n">
        <x:f>IF(N27="","",N27-O27-P27)</x:f>
        <x:v>137104000</x:v>
      </x:c>
      <x:c r="S27" s="219" t="n">
        <x:f>IF(R27="","",R27-Q27)</x:f>
        <x:v>123393600</x:v>
      </x:c>
      <x:c r="T27" s="214" t="str">
        <x:v>All</x:v>
      </x:c>
      <x:c r="U27" s="214" t="str">
        <x:v>valid</x:v>
      </x:c>
    </x:row>
    <x:row r="28" ht="20" customHeight="1">
      <x:c r="B28" s="214" t="str">
        <x:v>Customer</x:v>
      </x:c>
      <x:c r="C28" s="216" t="n">
        <x:v>46082</x:v>
      </x:c>
      <x:c r="D28" s="214" t="n">
        <x:v>1</x:v>
      </x:c>
      <x:c r="E28" s="214" t="str">
        <x:v>Customer Base</x:v>
      </x:c>
      <x:c r="F28" s="214" t="str"/>
      <x:c r="G28" s="214" t="str"/>
      <x:c r="H28" s="214" t="str"/>
      <x:c r="I28" s="214" t="str">
        <x:v>All</x:v>
      </x:c>
      <x:c r="J28" s="216" t="n">
        <x:v>46113</x:v>
      </x:c>
      <x:c r="K28" s="217" t="n">
        <x:v>264</x:v>
      </x:c>
      <x:c r="L28" s="217" t="n">
        <x:v>356</x:v>
      </x:c>
      <x:c r="M28" s="217" t="n">
        <x:v>506</x:v>
      </x:c>
      <x:c r="N28" s="218" t="n">
        <x:v>78320000</x:v>
      </x:c>
      <x:c r="O28" s="218" t="n">
        <x:v>32894400</x:v>
      </x:c>
      <x:c r="P28" s="218" t="n">
        <x:v>14097600</x:v>
      </x:c>
      <x:c r="Q28" s="218" t="n">
        <x:v>3132800</x:v>
      </x:c>
      <x:c r="R28" s="219" t="n">
        <x:f>IF(N28="","",N28-O28-P28)</x:f>
        <x:v>31328000</x:v>
      </x:c>
      <x:c r="S28" s="219" t="n">
        <x:f>IF(R28="","",R28-Q28)</x:f>
        <x:v>28195200</x:v>
      </x:c>
      <x:c r="T28" s="214" t="str">
        <x:v>All</x:v>
      </x:c>
      <x:c r="U28" s="214" t="str">
        <x:v>valid</x:v>
      </x:c>
    </x:row>
    <x:row r="29" ht="20" customHeight="1">
      <x:c r="B29" s="214" t="str">
        <x:v>Customer</x:v>
      </x:c>
      <x:c r="C29" s="216" t="n">
        <x:v>46082</x:v>
      </x:c>
      <x:c r="D29" s="214" t="n">
        <x:v>2</x:v>
      </x:c>
      <x:c r="E29" s="214" t="str">
        <x:v>Customer Base</x:v>
      </x:c>
      <x:c r="F29" s="214" t="str"/>
      <x:c r="G29" s="214" t="str"/>
      <x:c r="H29" s="214" t="str"/>
      <x:c r="I29" s="214" t="str">
        <x:v>All</x:v>
      </x:c>
      <x:c r="J29" s="216" t="n">
        <x:v>46143</x:v>
      </x:c>
      <x:c r="K29" s="217" t="n">
        <x:v>198</x:v>
      </x:c>
      <x:c r="L29" s="217" t="n">
        <x:v>267</x:v>
      </x:c>
      <x:c r="M29" s="217" t="n">
        <x:v>379</x:v>
      </x:c>
      <x:c r="N29" s="218" t="n">
        <x:v>58740000</x:v>
      </x:c>
      <x:c r="O29" s="218" t="n">
        <x:v>24670800</x:v>
      </x:c>
      <x:c r="P29" s="218" t="n">
        <x:v>10573200</x:v>
      </x:c>
      <x:c r="Q29" s="218" t="n">
        <x:v>2349600</x:v>
      </x:c>
      <x:c r="R29" s="219" t="n">
        <x:f>IF(N29="","",N29-O29-P29)</x:f>
        <x:v>23496000</x:v>
      </x:c>
      <x:c r="S29" s="219" t="n">
        <x:f>IF(R29="","",R29-Q29)</x:f>
        <x:v>21146400</x:v>
      </x:c>
      <x:c r="T29" s="214" t="str">
        <x:v>All</x:v>
      </x:c>
      <x:c r="U29" s="214" t="str">
        <x:v>valid</x:v>
      </x:c>
    </x:row>
    <x:row r="30" ht="20" customHeight="1">
      <x:c r="B30" s="214" t="str">
        <x:v>Customer</x:v>
      </x:c>
      <x:c r="C30" s="216" t="n">
        <x:v>46082</x:v>
      </x:c>
      <x:c r="D30" s="214" t="n">
        <x:v>3</x:v>
      </x:c>
      <x:c r="E30" s="214" t="str">
        <x:v>Customer Base</x:v>
      </x:c>
      <x:c r="F30" s="214" t="str"/>
      <x:c r="G30" s="214" t="str"/>
      <x:c r="H30" s="214" t="str"/>
      <x:c r="I30" s="214" t="str">
        <x:v>All</x:v>
      </x:c>
      <x:c r="J30" s="216" t="n">
        <x:v>46174</x:v>
      </x:c>
      <x:c r="K30" s="217" t="n">
        <x:v>145</x:v>
      </x:c>
      <x:c r="L30" s="217" t="n">
        <x:v>196</x:v>
      </x:c>
      <x:c r="M30" s="217" t="n">
        <x:v>278</x:v>
      </x:c>
      <x:c r="N30" s="218" t="n">
        <x:v>43120000</x:v>
      </x:c>
      <x:c r="O30" s="218" t="n">
        <x:v>18110400</x:v>
      </x:c>
      <x:c r="P30" s="218" t="n">
        <x:v>7761600</x:v>
      </x:c>
      <x:c r="Q30" s="218" t="n">
        <x:v>1724800</x:v>
      </x:c>
      <x:c r="R30" s="219" t="n">
        <x:f>IF(N30="","",N30-O30-P30)</x:f>
        <x:v>17248000</x:v>
      </x:c>
      <x:c r="S30" s="219" t="n">
        <x:f>IF(R30="","",R30-Q30)</x:f>
        <x:v>15523200</x:v>
      </x:c>
      <x:c r="T30" s="214" t="str">
        <x:v>All</x:v>
      </x:c>
      <x:c r="U30" s="214" t="str">
        <x:v>valid</x:v>
      </x:c>
    </x:row>
    <x:row r="31" ht="20" customHeight="1">
      <x:c r="B31" s="214" t="str">
        <x:v>Customer</x:v>
      </x:c>
      <x:c r="C31" s="216" t="n">
        <x:v>46113</x:v>
      </x:c>
      <x:c r="D31" s="214" t="n">
        <x:v>0</x:v>
      </x:c>
      <x:c r="E31" s="214" t="str">
        <x:v>Customer Base</x:v>
      </x:c>
      <x:c r="F31" s="214" t="str"/>
      <x:c r="G31" s="214" t="str"/>
      <x:c r="H31" s="214" t="str"/>
      <x:c r="I31" s="214" t="str">
        <x:v>All</x:v>
      </x:c>
      <x:c r="J31" s="216" t="n">
        <x:v>46113</x:v>
      </x:c>
      <x:c r="K31" s="217" t="n">
        <x:v>1450</x:v>
      </x:c>
      <x:c r="L31" s="217" t="n">
        <x:v>1711</x:v>
      </x:c>
      <x:c r="M31" s="217" t="n">
        <x:v>2430</x:v>
      </x:c>
      <x:c r="N31" s="218" t="n">
        <x:v>376420000</x:v>
      </x:c>
      <x:c r="O31" s="218" t="n">
        <x:v>158096400</x:v>
      </x:c>
      <x:c r="P31" s="218" t="n">
        <x:v>67755600</x:v>
      </x:c>
      <x:c r="Q31" s="218" t="n">
        <x:v>15056800</x:v>
      </x:c>
      <x:c r="R31" s="219" t="n">
        <x:f>IF(N31="","",N31-O31-P31)</x:f>
        <x:v>150568000</x:v>
      </x:c>
      <x:c r="S31" s="219" t="n">
        <x:f>IF(R31="","",R31-Q31)</x:f>
        <x:v>135511200</x:v>
      </x:c>
      <x:c r="T31" s="214" t="str">
        <x:v>All</x:v>
      </x:c>
      <x:c r="U31" s="214" t="str">
        <x:v>valid</x:v>
      </x:c>
    </x:row>
    <x:row r="32" ht="20" customHeight="1">
      <x:c r="B32" s="214" t="str">
        <x:v>Customer</x:v>
      </x:c>
      <x:c r="C32" s="216" t="n">
        <x:v>46113</x:v>
      </x:c>
      <x:c r="D32" s="214" t="n">
        <x:v>1</x:v>
      </x:c>
      <x:c r="E32" s="214" t="str">
        <x:v>Customer Base</x:v>
      </x:c>
      <x:c r="F32" s="214" t="str"/>
      <x:c r="G32" s="214" t="str"/>
      <x:c r="H32" s="214" t="str"/>
      <x:c r="I32" s="214" t="str">
        <x:v>All</x:v>
      </x:c>
      <x:c r="J32" s="216" t="n">
        <x:v>46143</x:v>
      </x:c>
      <x:c r="K32" s="217" t="n">
        <x:v>319</x:v>
      </x:c>
      <x:c r="L32" s="217" t="n">
        <x:v>431</x:v>
      </x:c>
      <x:c r="M32" s="217" t="n">
        <x:v>612</x:v>
      </x:c>
      <x:c r="N32" s="218" t="n">
        <x:v>94820000</x:v>
      </x:c>
      <x:c r="O32" s="218" t="n">
        <x:v>39824400</x:v>
      </x:c>
      <x:c r="P32" s="218" t="n">
        <x:v>17067600</x:v>
      </x:c>
      <x:c r="Q32" s="218" t="n">
        <x:v>3792800</x:v>
      </x:c>
      <x:c r="R32" s="219" t="n">
        <x:f>IF(N32="","",N32-O32-P32)</x:f>
        <x:v>37928000</x:v>
      </x:c>
      <x:c r="S32" s="219" t="n">
        <x:f>IF(R32="","",R32-Q32)</x:f>
        <x:v>34135200</x:v>
      </x:c>
      <x:c r="T32" s="214" t="str">
        <x:v>All</x:v>
      </x:c>
      <x:c r="U32" s="214" t="str">
        <x:v>valid</x:v>
      </x:c>
    </x:row>
    <x:row r="33" ht="20" customHeight="1">
      <x:c r="B33" s="214" t="str">
        <x:v>Customer</x:v>
      </x:c>
      <x:c r="C33" s="216" t="n">
        <x:v>46113</x:v>
      </x:c>
      <x:c r="D33" s="214" t="n">
        <x:v>2</x:v>
      </x:c>
      <x:c r="E33" s="214" t="str">
        <x:v>Customer Base</x:v>
      </x:c>
      <x:c r="F33" s="214" t="str"/>
      <x:c r="G33" s="214" t="str"/>
      <x:c r="H33" s="214" t="str"/>
      <x:c r="I33" s="214" t="str">
        <x:v>All</x:v>
      </x:c>
      <x:c r="J33" s="216" t="n">
        <x:v>46174</x:v>
      </x:c>
      <x:c r="K33" s="217" t="n">
        <x:v>232</x:v>
      </x:c>
      <x:c r="L33" s="217" t="n">
        <x:v>313</x:v>
      </x:c>
      <x:c r="M33" s="217" t="n">
        <x:v>444</x:v>
      </x:c>
      <x:c r="N33" s="218" t="n">
        <x:v>68860000</x:v>
      </x:c>
      <x:c r="O33" s="218" t="n">
        <x:v>28921200</x:v>
      </x:c>
      <x:c r="P33" s="218" t="n">
        <x:v>12394800</x:v>
      </x:c>
      <x:c r="Q33" s="218" t="n">
        <x:v>2754400</x:v>
      </x:c>
      <x:c r="R33" s="219" t="n">
        <x:f>IF(N33="","",N33-O33-P33)</x:f>
        <x:v>27544000</x:v>
      </x:c>
      <x:c r="S33" s="219" t="n">
        <x:f>IF(R33="","",R33-Q33)</x:f>
        <x:v>24789600</x:v>
      </x:c>
      <x:c r="T33" s="214" t="str">
        <x:v>All</x:v>
      </x:c>
      <x:c r="U33" s="214" t="str">
        <x:v>valid</x:v>
      </x:c>
    </x:row>
    <x:row r="34" ht="20" customHeight="1">
      <x:c r="B34" s="214" t="str">
        <x:v>Customer</x:v>
      </x:c>
      <x:c r="C34" s="216" t="n">
        <x:v>46143</x:v>
      </x:c>
      <x:c r="D34" s="214" t="n">
        <x:v>0</x:v>
      </x:c>
      <x:c r="E34" s="214" t="str">
        <x:v>Customer Base</x:v>
      </x:c>
      <x:c r="F34" s="214" t="str"/>
      <x:c r="G34" s="214" t="str"/>
      <x:c r="H34" s="214" t="str"/>
      <x:c r="I34" s="214" t="str">
        <x:v>All</x:v>
      </x:c>
      <x:c r="J34" s="216" t="n">
        <x:v>46143</x:v>
      </x:c>
      <x:c r="K34" s="217" t="n">
        <x:v>1180</x:v>
      </x:c>
      <x:c r="L34" s="217" t="n">
        <x:v>1392</x:v>
      </x:c>
      <x:c r="M34" s="217" t="n">
        <x:v>1977</x:v>
      </x:c>
      <x:c r="N34" s="218" t="n">
        <x:v>306240000</x:v>
      </x:c>
      <x:c r="O34" s="218" t="n">
        <x:v>128620800</x:v>
      </x:c>
      <x:c r="P34" s="218" t="n">
        <x:v>55123200</x:v>
      </x:c>
      <x:c r="Q34" s="218" t="n">
        <x:v>12249600</x:v>
      </x:c>
      <x:c r="R34" s="219" t="n">
        <x:f>IF(N34="","",N34-O34-P34)</x:f>
        <x:v>122496000</x:v>
      </x:c>
      <x:c r="S34" s="219" t="n">
        <x:f>IF(R34="","",R34-Q34)</x:f>
        <x:v>110246400</x:v>
      </x:c>
      <x:c r="T34" s="214" t="str">
        <x:v>All</x:v>
      </x:c>
      <x:c r="U34" s="214" t="str">
        <x:v>valid</x:v>
      </x:c>
    </x:row>
    <x:row r="35" ht="20" customHeight="1">
      <x:c r="B35" s="214" t="str">
        <x:v>Customer</x:v>
      </x:c>
      <x:c r="C35" s="216" t="n">
        <x:v>46143</x:v>
      </x:c>
      <x:c r="D35" s="214" t="n">
        <x:v>1</x:v>
      </x:c>
      <x:c r="E35" s="214" t="str">
        <x:v>Customer Base</x:v>
      </x:c>
      <x:c r="F35" s="214" t="str"/>
      <x:c r="G35" s="214" t="str"/>
      <x:c r="H35" s="214" t="str"/>
      <x:c r="I35" s="214" t="str">
        <x:v>All</x:v>
      </x:c>
      <x:c r="J35" s="216" t="n">
        <x:v>46174</x:v>
      </x:c>
      <x:c r="K35" s="217" t="n">
        <x:v>224</x:v>
      </x:c>
      <x:c r="L35" s="217" t="n">
        <x:v>302</x:v>
      </x:c>
      <x:c r="M35" s="217" t="n">
        <x:v>429</x:v>
      </x:c>
      <x:c r="N35" s="218" t="n">
        <x:v>66440000</x:v>
      </x:c>
      <x:c r="O35" s="218" t="n">
        <x:v>27904800</x:v>
      </x:c>
      <x:c r="P35" s="218" t="n">
        <x:v>11959200</x:v>
      </x:c>
      <x:c r="Q35" s="218" t="n">
        <x:v>2657600</x:v>
      </x:c>
      <x:c r="R35" s="219" t="n">
        <x:f>IF(N35="","",N35-O35-P35)</x:f>
        <x:v>26576000</x:v>
      </x:c>
      <x:c r="S35" s="219" t="n">
        <x:f>IF(R35="","",R35-Q35)</x:f>
        <x:v>23918400</x:v>
      </x:c>
      <x:c r="T35" s="214" t="str">
        <x:v>All</x:v>
      </x:c>
      <x:c r="U35" s="214" t="str">
        <x:v>valid</x:v>
      </x:c>
    </x:row>
    <x:row r="36" ht="20" customHeight="1">
      <x:c r="B36" s="214" t="str">
        <x:v>Customer</x:v>
      </x:c>
      <x:c r="C36" s="216" t="n">
        <x:v>46174</x:v>
      </x:c>
      <x:c r="D36" s="214" t="n">
        <x:v>0</x:v>
      </x:c>
      <x:c r="E36" s="214" t="str">
        <x:v>Customer Base</x:v>
      </x:c>
      <x:c r="F36" s="214" t="str"/>
      <x:c r="G36" s="214" t="str"/>
      <x:c r="H36" s="214" t="str"/>
      <x:c r="I36" s="214" t="str">
        <x:v>All</x:v>
      </x:c>
      <x:c r="J36" s="216" t="n">
        <x:v>46174</x:v>
      </x:c>
      <x:c r="K36" s="217" t="n">
        <x:v>980</x:v>
      </x:c>
      <x:c r="L36" s="217" t="n">
        <x:v>1156</x:v>
      </x:c>
      <x:c r="M36" s="217" t="n">
        <x:v>1642</x:v>
      </x:c>
      <x:c r="N36" s="218" t="n">
        <x:v>254320000</x:v>
      </x:c>
      <x:c r="O36" s="218" t="n">
        <x:v>106814400</x:v>
      </x:c>
      <x:c r="P36" s="218" t="n">
        <x:v>45777600</x:v>
      </x:c>
      <x:c r="Q36" s="218" t="n">
        <x:v>10172800</x:v>
      </x:c>
      <x:c r="R36" s="219" t="n">
        <x:f>IF(N36="","",N36-O36-P36)</x:f>
        <x:v>101728000</x:v>
      </x:c>
      <x:c r="S36" s="219" t="n">
        <x:f>IF(R36="","",R36-Q36)</x:f>
        <x:v>91555200</x:v>
      </x:c>
      <x:c r="T36" s="214" t="str">
        <x:v>All</x:v>
      </x:c>
      <x:c r="U36" s="214" t="str">
        <x:v>valid</x:v>
      </x:c>
    </x:row>
    <x:row r="37" ht="20" customHeight="1">
      <x:c r="B37" s="214" t="str">
        <x:v>Product</x:v>
      </x:c>
      <x:c r="C37" s="216" t="n">
        <x:v>46023</x:v>
      </x:c>
      <x:c r="D37" s="214" t="n">
        <x:v>0</x:v>
      </x:c>
      <x:c r="E37" s="214" t="str">
        <x:v>Product</x:v>
      </x:c>
      <x:c r="F37" s="214" t="str">
        <x:v>Tracktop Black</x:v>
      </x:c>
      <x:c r="G37" s="214" t="str">
        <x:v>TT-BLK</x:v>
      </x:c>
      <x:c r="H37" s="214" t="str">
        <x:v>Apparel</x:v>
      </x:c>
      <x:c r="I37" s="214" t="str">
        <x:v>All</x:v>
      </x:c>
      <x:c r="J37" s="216" t="n">
        <x:v>46023</x:v>
      </x:c>
      <x:c r="K37" s="217"/>
      <x:c r="L37" s="217" t="n">
        <x:v>229</x:v>
      </x:c>
      <x:c r="M37" s="217" t="n">
        <x:v>320</x:v>
      </x:c>
      <x:c r="N37" s="218" t="n">
        <x:v>59200000</x:v>
      </x:c>
      <x:c r="O37" s="218" t="n">
        <x:v>24864000</x:v>
      </x:c>
      <x:c r="P37" s="218" t="n">
        <x:v>10656000</x:v>
      </x:c>
      <x:c r="Q37" s="218" t="n">
        <x:v>2368000</x:v>
      </x:c>
      <x:c r="R37" s="219" t="n">
        <x:f>IF(N37="","",N37-O37-P37)</x:f>
        <x:v>23680000</x:v>
      </x:c>
      <x:c r="S37" s="219" t="n">
        <x:f>IF(R37="","",R37-Q37)</x:f>
        <x:v>21312000</x:v>
      </x:c>
      <x:c r="T37" s="214" t="str">
        <x:v>All</x:v>
      </x:c>
      <x:c r="U37" s="214" t="str">
        <x:v>valid</x:v>
      </x:c>
    </x:row>
    <x:row r="38" ht="20" customHeight="1">
      <x:c r="B38" s="214" t="str">
        <x:v>Product</x:v>
      </x:c>
      <x:c r="C38" s="216" t="n">
        <x:v>46023</x:v>
      </x:c>
      <x:c r="D38" s="214" t="n">
        <x:v>1</x:v>
      </x:c>
      <x:c r="E38" s="214" t="str">
        <x:v>Product</x:v>
      </x:c>
      <x:c r="F38" s="214" t="str">
        <x:v>Tracktop Black</x:v>
      </x:c>
      <x:c r="G38" s="214" t="str">
        <x:v>TT-BLK</x:v>
      </x:c>
      <x:c r="H38" s="214" t="str">
        <x:v>Apparel</x:v>
      </x:c>
      <x:c r="I38" s="214" t="str">
        <x:v>All</x:v>
      </x:c>
      <x:c r="J38" s="216" t="n">
        <x:v>46054</x:v>
      </x:c>
      <x:c r="K38" s="217"/>
      <x:c r="L38" s="217" t="n">
        <x:v>293</x:v>
      </x:c>
      <x:c r="M38" s="217" t="n">
        <x:v>410</x:v>
      </x:c>
      <x:c r="N38" s="218" t="n">
        <x:v>75850000</x:v>
      </x:c>
      <x:c r="O38" s="218" t="n">
        <x:v>31857000</x:v>
      </x:c>
      <x:c r="P38" s="218" t="n">
        <x:v>13653000</x:v>
      </x:c>
      <x:c r="Q38" s="218" t="n">
        <x:v>3034000</x:v>
      </x:c>
      <x:c r="R38" s="219" t="n">
        <x:f>IF(N38="","",N38-O38-P38)</x:f>
        <x:v>30340000</x:v>
      </x:c>
      <x:c r="S38" s="219" t="n">
        <x:f>IF(R38="","",R38-Q38)</x:f>
        <x:v>27306000</x:v>
      </x:c>
      <x:c r="T38" s="214" t="str">
        <x:v>All</x:v>
      </x:c>
      <x:c r="U38" s="214" t="str">
        <x:v>valid</x:v>
      </x:c>
    </x:row>
    <x:row r="39" ht="20" customHeight="1">
      <x:c r="B39" s="214" t="str">
        <x:v>Product</x:v>
      </x:c>
      <x:c r="C39" s="216" t="n">
        <x:v>46023</x:v>
      </x:c>
      <x:c r="D39" s="214" t="n">
        <x:v>2</x:v>
      </x:c>
      <x:c r="E39" s="214" t="str">
        <x:v>Product</x:v>
      </x:c>
      <x:c r="F39" s="214" t="str">
        <x:v>Tracktop Black</x:v>
      </x:c>
      <x:c r="G39" s="214" t="str">
        <x:v>TT-BLK</x:v>
      </x:c>
      <x:c r="H39" s="214" t="str">
        <x:v>Apparel</x:v>
      </x:c>
      <x:c r="I39" s="214" t="str">
        <x:v>All</x:v>
      </x:c>
      <x:c r="J39" s="216" t="n">
        <x:v>46082</x:v>
      </x:c>
      <x:c r="K39" s="217"/>
      <x:c r="L39" s="217" t="n">
        <x:v>379</x:v>
      </x:c>
      <x:c r="M39" s="217" t="n">
        <x:v>530</x:v>
      </x:c>
      <x:c r="N39" s="218" t="n">
        <x:v>98050000</x:v>
      </x:c>
      <x:c r="O39" s="218" t="n">
        <x:v>41181000</x:v>
      </x:c>
      <x:c r="P39" s="218" t="n">
        <x:v>17649000</x:v>
      </x:c>
      <x:c r="Q39" s="218" t="n">
        <x:v>3922000</x:v>
      </x:c>
      <x:c r="R39" s="219" t="n">
        <x:f>IF(N39="","",N39-O39-P39)</x:f>
        <x:v>39220000</x:v>
      </x:c>
      <x:c r="S39" s="219" t="n">
        <x:f>IF(R39="","",R39-Q39)</x:f>
        <x:v>35298000</x:v>
      </x:c>
      <x:c r="T39" s="214" t="str">
        <x:v>All</x:v>
      </x:c>
      <x:c r="U39" s="214" t="str">
        <x:v>valid</x:v>
      </x:c>
    </x:row>
    <x:row r="40" ht="20" customHeight="1">
      <x:c r="B40" s="214" t="str">
        <x:v>Product</x:v>
      </x:c>
      <x:c r="C40" s="216" t="n">
        <x:v>46023</x:v>
      </x:c>
      <x:c r="D40" s="214" t="n">
        <x:v>3</x:v>
      </x:c>
      <x:c r="E40" s="214" t="str">
        <x:v>Product</x:v>
      </x:c>
      <x:c r="F40" s="214" t="str">
        <x:v>Tracktop Black</x:v>
      </x:c>
      <x:c r="G40" s="214" t="str">
        <x:v>TT-BLK</x:v>
      </x:c>
      <x:c r="H40" s="214" t="str">
        <x:v>Apparel</x:v>
      </x:c>
      <x:c r="I40" s="214" t="str">
        <x:v>All</x:v>
      </x:c>
      <x:c r="J40" s="216" t="n">
        <x:v>46113</x:v>
      </x:c>
      <x:c r="K40" s="217"/>
      <x:c r="L40" s="217" t="n">
        <x:v>350</x:v>
      </x:c>
      <x:c r="M40" s="217" t="n">
        <x:v>490</x:v>
      </x:c>
      <x:c r="N40" s="218" t="n">
        <x:v>90650000</x:v>
      </x:c>
      <x:c r="O40" s="218" t="n">
        <x:v>38073000</x:v>
      </x:c>
      <x:c r="P40" s="218" t="n">
        <x:v>16317000</x:v>
      </x:c>
      <x:c r="Q40" s="218" t="n">
        <x:v>3626000</x:v>
      </x:c>
      <x:c r="R40" s="219" t="n">
        <x:f>IF(N40="","",N40-O40-P40)</x:f>
        <x:v>36260000</x:v>
      </x:c>
      <x:c r="S40" s="219" t="n">
        <x:f>IF(R40="","",R40-Q40)</x:f>
        <x:v>32634000</x:v>
      </x:c>
      <x:c r="T40" s="214" t="str">
        <x:v>All</x:v>
      </x:c>
      <x:c r="U40" s="214" t="str">
        <x:v>valid</x:v>
      </x:c>
    </x:row>
    <x:row r="41" ht="20" customHeight="1">
      <x:c r="B41" s="214" t="str">
        <x:v>Product</x:v>
      </x:c>
      <x:c r="C41" s="216" t="n">
        <x:v>46023</x:v>
      </x:c>
      <x:c r="D41" s="214" t="n">
        <x:v>4</x:v>
      </x:c>
      <x:c r="E41" s="214" t="str">
        <x:v>Product</x:v>
      </x:c>
      <x:c r="F41" s="214" t="str">
        <x:v>Tracktop Black</x:v>
      </x:c>
      <x:c r="G41" s="214" t="str">
        <x:v>TT-BLK</x:v>
      </x:c>
      <x:c r="H41" s="214" t="str">
        <x:v>Apparel</x:v>
      </x:c>
      <x:c r="I41" s="214" t="str">
        <x:v>All</x:v>
      </x:c>
      <x:c r="J41" s="216" t="n">
        <x:v>46143</x:v>
      </x:c>
      <x:c r="K41" s="217"/>
      <x:c r="L41" s="217" t="n">
        <x:v>321</x:v>
      </x:c>
      <x:c r="M41" s="217" t="n">
        <x:v>450</x:v>
      </x:c>
      <x:c r="N41" s="218" t="n">
        <x:v>83250000</x:v>
      </x:c>
      <x:c r="O41" s="218" t="n">
        <x:v>34965000</x:v>
      </x:c>
      <x:c r="P41" s="218" t="n">
        <x:v>14985000</x:v>
      </x:c>
      <x:c r="Q41" s="218" t="n">
        <x:v>3330000</x:v>
      </x:c>
      <x:c r="R41" s="219" t="n">
        <x:f>IF(N41="","",N41-O41-P41)</x:f>
        <x:v>33300000</x:v>
      </x:c>
      <x:c r="S41" s="219" t="n">
        <x:f>IF(R41="","",R41-Q41)</x:f>
        <x:v>29970000</x:v>
      </x:c>
      <x:c r="T41" s="214" t="str">
        <x:v>All</x:v>
      </x:c>
      <x:c r="U41" s="214" t="str">
        <x:v>valid</x:v>
      </x:c>
    </x:row>
    <x:row r="42" ht="20" customHeight="1">
      <x:c r="B42" s="214" t="str">
        <x:v>Product</x:v>
      </x:c>
      <x:c r="C42" s="216" t="n">
        <x:v>46023</x:v>
      </x:c>
      <x:c r="D42" s="214" t="n">
        <x:v>5</x:v>
      </x:c>
      <x:c r="E42" s="214" t="str">
        <x:v>Product</x:v>
      </x:c>
      <x:c r="F42" s="214" t="str">
        <x:v>Tracktop Black</x:v>
      </x:c>
      <x:c r="G42" s="214" t="str">
        <x:v>TT-BLK</x:v>
      </x:c>
      <x:c r="H42" s="214" t="str">
        <x:v>Apparel</x:v>
      </x:c>
      <x:c r="I42" s="214" t="str">
        <x:v>All</x:v>
      </x:c>
      <x:c r="J42" s="216" t="n">
        <x:v>46174</x:v>
      </x:c>
      <x:c r="K42" s="217"/>
      <x:c r="L42" s="217" t="n">
        <x:v>300</x:v>
      </x:c>
      <x:c r="M42" s="217" t="n">
        <x:v>420</x:v>
      </x:c>
      <x:c r="N42" s="218" t="n">
        <x:v>77700000</x:v>
      </x:c>
      <x:c r="O42" s="218" t="n">
        <x:v>32634000</x:v>
      </x:c>
      <x:c r="P42" s="218" t="n">
        <x:v>13986000</x:v>
      </x:c>
      <x:c r="Q42" s="218" t="n">
        <x:v>3108000</x:v>
      </x:c>
      <x:c r="R42" s="219" t="n">
        <x:f>IF(N42="","",N42-O42-P42)</x:f>
        <x:v>31080000</x:v>
      </x:c>
      <x:c r="S42" s="219" t="n">
        <x:f>IF(R42="","",R42-Q42)</x:f>
        <x:v>27972000</x:v>
      </x:c>
      <x:c r="T42" s="214" t="str">
        <x:v>All</x:v>
      </x:c>
      <x:c r="U42" s="214" t="str">
        <x:v>valid</x:v>
      </x:c>
    </x:row>
    <x:row r="43" ht="20" customHeight="1">
      <x:c r="B43" s="214" t="str">
        <x:v>Product</x:v>
      </x:c>
      <x:c r="C43" s="216" t="n">
        <x:v>46023</x:v>
      </x:c>
      <x:c r="D43" s="214" t="n">
        <x:v>0</x:v>
      </x:c>
      <x:c r="E43" s="214" t="str">
        <x:v>Product</x:v>
      </x:c>
      <x:c r="F43" s="214" t="str">
        <x:v>Tracktop Navy</x:v>
      </x:c>
      <x:c r="G43" s="214" t="str">
        <x:v>TT-NVY</x:v>
      </x:c>
      <x:c r="H43" s="214" t="str">
        <x:v>Apparel</x:v>
      </x:c>
      <x:c r="I43" s="214" t="str">
        <x:v>All</x:v>
      </x:c>
      <x:c r="J43" s="216" t="n">
        <x:v>46023</x:v>
      </x:c>
      <x:c r="K43" s="217"/>
      <x:c r="L43" s="217" t="n">
        <x:v>200</x:v>
      </x:c>
      <x:c r="M43" s="217" t="n">
        <x:v>280</x:v>
      </x:c>
      <x:c r="N43" s="218" t="n">
        <x:v>51800000</x:v>
      </x:c>
      <x:c r="O43" s="218" t="n">
        <x:v>21756000</x:v>
      </x:c>
      <x:c r="P43" s="218" t="n">
        <x:v>9324000</x:v>
      </x:c>
      <x:c r="Q43" s="218" t="n">
        <x:v>2072000</x:v>
      </x:c>
      <x:c r="R43" s="219" t="n">
        <x:f>IF(N43="","",N43-O43-P43)</x:f>
        <x:v>20720000</x:v>
      </x:c>
      <x:c r="S43" s="219" t="n">
        <x:f>IF(R43="","",R43-Q43)</x:f>
        <x:v>18648000</x:v>
      </x:c>
      <x:c r="T43" s="214" t="str">
        <x:v>All</x:v>
      </x:c>
      <x:c r="U43" s="214" t="str">
        <x:v>valid</x:v>
      </x:c>
    </x:row>
    <x:row r="44" ht="20" customHeight="1">
      <x:c r="B44" s="214" t="str">
        <x:v>Product</x:v>
      </x:c>
      <x:c r="C44" s="216" t="n">
        <x:v>46023</x:v>
      </x:c>
      <x:c r="D44" s="214" t="n">
        <x:v>1</x:v>
      </x:c>
      <x:c r="E44" s="214" t="str">
        <x:v>Product</x:v>
      </x:c>
      <x:c r="F44" s="214" t="str">
        <x:v>Tracktop Navy</x:v>
      </x:c>
      <x:c r="G44" s="214" t="str">
        <x:v>TT-NVY</x:v>
      </x:c>
      <x:c r="H44" s="214" t="str">
        <x:v>Apparel</x:v>
      </x:c>
      <x:c r="I44" s="214" t="str">
        <x:v>All</x:v>
      </x:c>
      <x:c r="J44" s="216" t="n">
        <x:v>46054</x:v>
      </x:c>
      <x:c r="K44" s="217"/>
      <x:c r="L44" s="217" t="n">
        <x:v>279</x:v>
      </x:c>
      <x:c r="M44" s="217" t="n">
        <x:v>390</x:v>
      </x:c>
      <x:c r="N44" s="218" t="n">
        <x:v>72150000</x:v>
      </x:c>
      <x:c r="O44" s="218" t="n">
        <x:v>30303000</x:v>
      </x:c>
      <x:c r="P44" s="218" t="n">
        <x:v>12987000</x:v>
      </x:c>
      <x:c r="Q44" s="218" t="n">
        <x:v>2886000</x:v>
      </x:c>
      <x:c r="R44" s="219" t="n">
        <x:f>IF(N44="","",N44-O44-P44)</x:f>
        <x:v>28860000</x:v>
      </x:c>
      <x:c r="S44" s="219" t="n">
        <x:f>IF(R44="","",R44-Q44)</x:f>
        <x:v>25974000</x:v>
      </x:c>
      <x:c r="T44" s="214" t="str">
        <x:v>All</x:v>
      </x:c>
      <x:c r="U44" s="214" t="str">
        <x:v>valid</x:v>
      </x:c>
    </x:row>
    <x:row r="45" ht="20" customHeight="1">
      <x:c r="B45" s="214" t="str">
        <x:v>Product</x:v>
      </x:c>
      <x:c r="C45" s="216" t="n">
        <x:v>46023</x:v>
      </x:c>
      <x:c r="D45" s="214" t="n">
        <x:v>2</x:v>
      </x:c>
      <x:c r="E45" s="214" t="str">
        <x:v>Product</x:v>
      </x:c>
      <x:c r="F45" s="214" t="str">
        <x:v>Tracktop Navy</x:v>
      </x:c>
      <x:c r="G45" s="214" t="str">
        <x:v>TT-NVY</x:v>
      </x:c>
      <x:c r="H45" s="214" t="str">
        <x:v>Apparel</x:v>
      </x:c>
      <x:c r="I45" s="214" t="str">
        <x:v>All</x:v>
      </x:c>
      <x:c r="J45" s="216" t="n">
        <x:v>46082</x:v>
      </x:c>
      <x:c r="K45" s="217"/>
      <x:c r="L45" s="217" t="n">
        <x:v>314</x:v>
      </x:c>
      <x:c r="M45" s="217" t="n">
        <x:v>440</x:v>
      </x:c>
      <x:c r="N45" s="218" t="n">
        <x:v>81400000</x:v>
      </x:c>
      <x:c r="O45" s="218" t="n">
        <x:v>34188000</x:v>
      </x:c>
      <x:c r="P45" s="218" t="n">
        <x:v>14652000</x:v>
      </x:c>
      <x:c r="Q45" s="218" t="n">
        <x:v>3256000</x:v>
      </x:c>
      <x:c r="R45" s="219" t="n">
        <x:f>IF(N45="","",N45-O45-P45)</x:f>
        <x:v>32560000</x:v>
      </x:c>
      <x:c r="S45" s="219" t="n">
        <x:f>IF(R45="","",R45-Q45)</x:f>
        <x:v>29304000</x:v>
      </x:c>
      <x:c r="T45" s="214" t="str">
        <x:v>All</x:v>
      </x:c>
      <x:c r="U45" s="214" t="str">
        <x:v>valid</x:v>
      </x:c>
    </x:row>
    <x:row r="46" ht="20" customHeight="1">
      <x:c r="B46" s="214" t="str">
        <x:v>Product</x:v>
      </x:c>
      <x:c r="C46" s="216" t="n">
        <x:v>46023</x:v>
      </x:c>
      <x:c r="D46" s="214" t="n">
        <x:v>3</x:v>
      </x:c>
      <x:c r="E46" s="214" t="str">
        <x:v>Product</x:v>
      </x:c>
      <x:c r="F46" s="214" t="str">
        <x:v>Tracktop Navy</x:v>
      </x:c>
      <x:c r="G46" s="214" t="str">
        <x:v>TT-NVY</x:v>
      </x:c>
      <x:c r="H46" s="214" t="str">
        <x:v>Apparel</x:v>
      </x:c>
      <x:c r="I46" s="214" t="str">
        <x:v>All</x:v>
      </x:c>
      <x:c r="J46" s="216" t="n">
        <x:v>46113</x:v>
      </x:c>
      <x:c r="K46" s="217"/>
      <x:c r="L46" s="217" t="n">
        <x:v>364</x:v>
      </x:c>
      <x:c r="M46" s="217" t="n">
        <x:v>510</x:v>
      </x:c>
      <x:c r="N46" s="218" t="n">
        <x:v>94350000</x:v>
      </x:c>
      <x:c r="O46" s="218" t="n">
        <x:v>39627000</x:v>
      </x:c>
      <x:c r="P46" s="218" t="n">
        <x:v>16983000</x:v>
      </x:c>
      <x:c r="Q46" s="218" t="n">
        <x:v>3774000</x:v>
      </x:c>
      <x:c r="R46" s="219" t="n">
        <x:f>IF(N46="","",N46-O46-P46)</x:f>
        <x:v>37740000</x:v>
      </x:c>
      <x:c r="S46" s="219" t="n">
        <x:f>IF(R46="","",R46-Q46)</x:f>
        <x:v>33966000</x:v>
      </x:c>
      <x:c r="T46" s="214" t="str">
        <x:v>All</x:v>
      </x:c>
      <x:c r="U46" s="214" t="str">
        <x:v>valid</x:v>
      </x:c>
    </x:row>
    <x:row r="47" ht="20" customHeight="1">
      <x:c r="B47" s="214" t="str">
        <x:v>Product</x:v>
      </x:c>
      <x:c r="C47" s="216" t="n">
        <x:v>46023</x:v>
      </x:c>
      <x:c r="D47" s="214" t="n">
        <x:v>4</x:v>
      </x:c>
      <x:c r="E47" s="214" t="str">
        <x:v>Product</x:v>
      </x:c>
      <x:c r="F47" s="214" t="str">
        <x:v>Tracktop Navy</x:v>
      </x:c>
      <x:c r="G47" s="214" t="str">
        <x:v>TT-NVY</x:v>
      </x:c>
      <x:c r="H47" s="214" t="str">
        <x:v>Apparel</x:v>
      </x:c>
      <x:c r="I47" s="214" t="str">
        <x:v>All</x:v>
      </x:c>
      <x:c r="J47" s="216" t="n">
        <x:v>46143</x:v>
      </x:c>
      <x:c r="K47" s="217"/>
      <x:c r="L47" s="217" t="n">
        <x:v>343</x:v>
      </x:c>
      <x:c r="M47" s="217" t="n">
        <x:v>480</x:v>
      </x:c>
      <x:c r="N47" s="218" t="n">
        <x:v>88800000</x:v>
      </x:c>
      <x:c r="O47" s="218" t="n">
        <x:v>37296000</x:v>
      </x:c>
      <x:c r="P47" s="218" t="n">
        <x:v>15984000</x:v>
      </x:c>
      <x:c r="Q47" s="218" t="n">
        <x:v>3552000</x:v>
      </x:c>
      <x:c r="R47" s="219" t="n">
        <x:f>IF(N47="","",N47-O47-P47)</x:f>
        <x:v>35520000</x:v>
      </x:c>
      <x:c r="S47" s="219" t="n">
        <x:f>IF(R47="","",R47-Q47)</x:f>
        <x:v>31968000</x:v>
      </x:c>
      <x:c r="T47" s="214" t="str">
        <x:v>All</x:v>
      </x:c>
      <x:c r="U47" s="214" t="str">
        <x:v>valid</x:v>
      </x:c>
    </x:row>
    <x:row r="48" ht="20" customHeight="1">
      <x:c r="B48" s="214" t="str">
        <x:v>Product</x:v>
      </x:c>
      <x:c r="C48" s="216" t="n">
        <x:v>46023</x:v>
      </x:c>
      <x:c r="D48" s="214" t="n">
        <x:v>5</x:v>
      </x:c>
      <x:c r="E48" s="214" t="str">
        <x:v>Product</x:v>
      </x:c>
      <x:c r="F48" s="214" t="str">
        <x:v>Tracktop Navy</x:v>
      </x:c>
      <x:c r="G48" s="214" t="str">
        <x:v>TT-NVY</x:v>
      </x:c>
      <x:c r="H48" s="214" t="str">
        <x:v>Apparel</x:v>
      </x:c>
      <x:c r="I48" s="214" t="str">
        <x:v>All</x:v>
      </x:c>
      <x:c r="J48" s="216" t="n">
        <x:v>46174</x:v>
      </x:c>
      <x:c r="K48" s="217"/>
      <x:c r="L48" s="217" t="n">
        <x:v>329</x:v>
      </x:c>
      <x:c r="M48" s="217" t="n">
        <x:v>460</x:v>
      </x:c>
      <x:c r="N48" s="218" t="n">
        <x:v>85100000</x:v>
      </x:c>
      <x:c r="O48" s="218" t="n">
        <x:v>35742000</x:v>
      </x:c>
      <x:c r="P48" s="218" t="n">
        <x:v>15318000</x:v>
      </x:c>
      <x:c r="Q48" s="218" t="n">
        <x:v>3404000</x:v>
      </x:c>
      <x:c r="R48" s="219" t="n">
        <x:f>IF(N48="","",N48-O48-P48)</x:f>
        <x:v>34040000</x:v>
      </x:c>
      <x:c r="S48" s="219" t="n">
        <x:f>IF(R48="","",R48-Q48)</x:f>
        <x:v>30636000</x:v>
      </x:c>
      <x:c r="T48" s="214" t="str">
        <x:v>All</x:v>
      </x:c>
      <x:c r="U48" s="214" t="str">
        <x:v>valid</x:v>
      </x:c>
    </x:row>
    <x:row r="49" ht="20" customHeight="1">
      <x:c r="B49" s="214" t="str">
        <x:v>Product</x:v>
      </x:c>
      <x:c r="C49" s="216" t="n">
        <x:v>46054</x:v>
      </x:c>
      <x:c r="D49" s="214" t="n">
        <x:v>0</x:v>
      </x:c>
      <x:c r="E49" s="214" t="str">
        <x:v>Product</x:v>
      </x:c>
      <x:c r="F49" s="214" t="str">
        <x:v>Basic Tee White</x:v>
      </x:c>
      <x:c r="G49" s="214" t="str">
        <x:v>TEE-WHT</x:v>
      </x:c>
      <x:c r="H49" s="214" t="str">
        <x:v>Apparel</x:v>
      </x:c>
      <x:c r="I49" s="214" t="str">
        <x:v>All</x:v>
      </x:c>
      <x:c r="J49" s="216" t="n">
        <x:v>46054</x:v>
      </x:c>
      <x:c r="K49" s="217"/>
      <x:c r="L49" s="217" t="n">
        <x:v>157</x:v>
      </x:c>
      <x:c r="M49" s="217" t="n">
        <x:v>220</x:v>
      </x:c>
      <x:c r="N49" s="218" t="n">
        <x:v>20900000</x:v>
      </x:c>
      <x:c r="O49" s="218" t="n">
        <x:v>8778000</x:v>
      </x:c>
      <x:c r="P49" s="218" t="n">
        <x:v>3762000</x:v>
      </x:c>
      <x:c r="Q49" s="218" t="n">
        <x:v>836000</x:v>
      </x:c>
      <x:c r="R49" s="219" t="n">
        <x:f>IF(N49="","",N49-O49-P49)</x:f>
        <x:v>8360000</x:v>
      </x:c>
      <x:c r="S49" s="219" t="n">
        <x:f>IF(R49="","",R49-Q49)</x:f>
        <x:v>7524000</x:v>
      </x:c>
      <x:c r="T49" s="214" t="str">
        <x:v>All</x:v>
      </x:c>
      <x:c r="U49" s="214" t="str">
        <x:v>valid</x:v>
      </x:c>
    </x:row>
    <x:row r="50" ht="20" customHeight="1">
      <x:c r="B50" s="214" t="str">
        <x:v>Product</x:v>
      </x:c>
      <x:c r="C50" s="216" t="n">
        <x:v>46054</x:v>
      </x:c>
      <x:c r="D50" s="214" t="n">
        <x:v>1</x:v>
      </x:c>
      <x:c r="E50" s="214" t="str">
        <x:v>Product</x:v>
      </x:c>
      <x:c r="F50" s="214" t="str">
        <x:v>Basic Tee White</x:v>
      </x:c>
      <x:c r="G50" s="214" t="str">
        <x:v>TEE-WHT</x:v>
      </x:c>
      <x:c r="H50" s="214" t="str">
        <x:v>Apparel</x:v>
      </x:c>
      <x:c r="I50" s="214" t="str">
        <x:v>All</x:v>
      </x:c>
      <x:c r="J50" s="216" t="n">
        <x:v>46082</x:v>
      </x:c>
      <x:c r="K50" s="217"/>
      <x:c r="L50" s="217" t="n">
        <x:v>186</x:v>
      </x:c>
      <x:c r="M50" s="217" t="n">
        <x:v>260</x:v>
      </x:c>
      <x:c r="N50" s="218" t="n">
        <x:v>24700000</x:v>
      </x:c>
      <x:c r="O50" s="218" t="n">
        <x:v>10374000</x:v>
      </x:c>
      <x:c r="P50" s="218" t="n">
        <x:v>4446000</x:v>
      </x:c>
      <x:c r="Q50" s="218" t="n">
        <x:v>988000</x:v>
      </x:c>
      <x:c r="R50" s="219" t="n">
        <x:f>IF(N50="","",N50-O50-P50)</x:f>
        <x:v>9880000</x:v>
      </x:c>
      <x:c r="S50" s="219" t="n">
        <x:f>IF(R50="","",R50-Q50)</x:f>
        <x:v>8892000</x:v>
      </x:c>
      <x:c r="T50" s="214" t="str">
        <x:v>All</x:v>
      </x:c>
      <x:c r="U50" s="214" t="str">
        <x:v>valid</x:v>
      </x:c>
    </x:row>
    <x:row r="51" ht="20" customHeight="1">
      <x:c r="B51" s="214" t="str">
        <x:v>Product</x:v>
      </x:c>
      <x:c r="C51" s="216" t="n">
        <x:v>46054</x:v>
      </x:c>
      <x:c r="D51" s="214" t="n">
        <x:v>2</x:v>
      </x:c>
      <x:c r="E51" s="214" t="str">
        <x:v>Product</x:v>
      </x:c>
      <x:c r="F51" s="214" t="str">
        <x:v>Basic Tee White</x:v>
      </x:c>
      <x:c r="G51" s="214" t="str">
        <x:v>TEE-WHT</x:v>
      </x:c>
      <x:c r="H51" s="214" t="str">
        <x:v>Apparel</x:v>
      </x:c>
      <x:c r="I51" s="214" t="str">
        <x:v>All</x:v>
      </x:c>
      <x:c r="J51" s="216" t="n">
        <x:v>46113</x:v>
      </x:c>
      <x:c r="K51" s="217"/>
      <x:c r="L51" s="217" t="n">
        <x:v>214</x:v>
      </x:c>
      <x:c r="M51" s="217" t="n">
        <x:v>300</x:v>
      </x:c>
      <x:c r="N51" s="218" t="n">
        <x:v>28500000</x:v>
      </x:c>
      <x:c r="O51" s="218" t="n">
        <x:v>11970000</x:v>
      </x:c>
      <x:c r="P51" s="218" t="n">
        <x:v>5130000</x:v>
      </x:c>
      <x:c r="Q51" s="218" t="n">
        <x:v>1140000</x:v>
      </x:c>
      <x:c r="R51" s="219" t="n">
        <x:f>IF(N51="","",N51-O51-P51)</x:f>
        <x:v>11400000</x:v>
      </x:c>
      <x:c r="S51" s="219" t="n">
        <x:f>IF(R51="","",R51-Q51)</x:f>
        <x:v>10260000</x:v>
      </x:c>
      <x:c r="T51" s="214" t="str">
        <x:v>All</x:v>
      </x:c>
      <x:c r="U51" s="214" t="str">
        <x:v>valid</x:v>
      </x:c>
    </x:row>
    <x:row r="52" ht="20" customHeight="1">
      <x:c r="B52" s="214" t="str">
        <x:v>Product</x:v>
      </x:c>
      <x:c r="C52" s="216" t="n">
        <x:v>46054</x:v>
      </x:c>
      <x:c r="D52" s="214" t="n">
        <x:v>3</x:v>
      </x:c>
      <x:c r="E52" s="214" t="str">
        <x:v>Product</x:v>
      </x:c>
      <x:c r="F52" s="214" t="str">
        <x:v>Basic Tee White</x:v>
      </x:c>
      <x:c r="G52" s="214" t="str">
        <x:v>TEE-WHT</x:v>
      </x:c>
      <x:c r="H52" s="214" t="str">
        <x:v>Apparel</x:v>
      </x:c>
      <x:c r="I52" s="214" t="str">
        <x:v>All</x:v>
      </x:c>
      <x:c r="J52" s="216" t="n">
        <x:v>46143</x:v>
      </x:c>
      <x:c r="K52" s="217"/>
      <x:c r="L52" s="217" t="n">
        <x:v>225</x:v>
      </x:c>
      <x:c r="M52" s="217" t="n">
        <x:v>315</x:v>
      </x:c>
      <x:c r="N52" s="218" t="n">
        <x:v>29925000</x:v>
      </x:c>
      <x:c r="O52" s="218" t="n">
        <x:v>12568500</x:v>
      </x:c>
      <x:c r="P52" s="218" t="n">
        <x:v>5386500</x:v>
      </x:c>
      <x:c r="Q52" s="218" t="n">
        <x:v>1197000</x:v>
      </x:c>
      <x:c r="R52" s="219" t="n">
        <x:f>IF(N52="","",N52-O52-P52)</x:f>
        <x:v>11970000</x:v>
      </x:c>
      <x:c r="S52" s="219" t="n">
        <x:f>IF(R52="","",R52-Q52)</x:f>
        <x:v>10773000</x:v>
      </x:c>
      <x:c r="T52" s="214" t="str">
        <x:v>All</x:v>
      </x:c>
      <x:c r="U52" s="214" t="str">
        <x:v>valid</x:v>
      </x:c>
    </x:row>
    <x:row r="53" ht="20" customHeight="1">
      <x:c r="B53" s="214" t="str">
        <x:v>Product</x:v>
      </x:c>
      <x:c r="C53" s="216" t="n">
        <x:v>46054</x:v>
      </x:c>
      <x:c r="D53" s="214" t="n">
        <x:v>4</x:v>
      </x:c>
      <x:c r="E53" s="214" t="str">
        <x:v>Product</x:v>
      </x:c>
      <x:c r="F53" s="214" t="str">
        <x:v>Basic Tee White</x:v>
      </x:c>
      <x:c r="G53" s="214" t="str">
        <x:v>TEE-WHT</x:v>
      </x:c>
      <x:c r="H53" s="214" t="str">
        <x:v>Apparel</x:v>
      </x:c>
      <x:c r="I53" s="214" t="str">
        <x:v>All</x:v>
      </x:c>
      <x:c r="J53" s="216" t="n">
        <x:v>46174</x:v>
      </x:c>
      <x:c r="K53" s="217"/>
      <x:c r="L53" s="217" t="n">
        <x:v>236</x:v>
      </x:c>
      <x:c r="M53" s="217" t="n">
        <x:v>330</x:v>
      </x:c>
      <x:c r="N53" s="218" t="n">
        <x:v>31350000</x:v>
      </x:c>
      <x:c r="O53" s="218" t="n">
        <x:v>13167000</x:v>
      </x:c>
      <x:c r="P53" s="218" t="n">
        <x:v>5643000</x:v>
      </x:c>
      <x:c r="Q53" s="218" t="n">
        <x:v>1254000</x:v>
      </x:c>
      <x:c r="R53" s="219" t="n">
        <x:f>IF(N53="","",N53-O53-P53)</x:f>
        <x:v>12540000</x:v>
      </x:c>
      <x:c r="S53" s="219" t="n">
        <x:f>IF(R53="","",R53-Q53)</x:f>
        <x:v>11286000</x:v>
      </x:c>
      <x:c r="T53" s="214" t="str">
        <x:v>All</x:v>
      </x:c>
      <x:c r="U53" s="214" t="str">
        <x:v>valid</x:v>
      </x:c>
    </x:row>
    <x:row r="54" ht="20" customHeight="1">
      <x:c r="B54" s="214" t="str">
        <x:v>Product</x:v>
      </x:c>
      <x:c r="C54" s="216" t="n">
        <x:v>46082</x:v>
      </x:c>
      <x:c r="D54" s="214" t="n">
        <x:v>0</x:v>
      </x:c>
      <x:c r="E54" s="214" t="str">
        <x:v>Product</x:v>
      </x:c>
      <x:c r="F54" s="214" t="str">
        <x:v>Canvas Bag</x:v>
      </x:c>
      <x:c r="G54" s="214" t="str">
        <x:v>BAG-CNV</x:v>
      </x:c>
      <x:c r="H54" s="214" t="str">
        <x:v>Accessories</x:v>
      </x:c>
      <x:c r="I54" s="214" t="str">
        <x:v>All</x:v>
      </x:c>
      <x:c r="J54" s="216" t="n">
        <x:v>46082</x:v>
      </x:c>
      <x:c r="K54" s="217"/>
      <x:c r="L54" s="217" t="n">
        <x:v>107</x:v>
      </x:c>
      <x:c r="M54" s="217" t="n">
        <x:v>150</x:v>
      </x:c>
      <x:c r="N54" s="218" t="n">
        <x:v>18750000</x:v>
      </x:c>
      <x:c r="O54" s="218" t="n">
        <x:v>7875000</x:v>
      </x:c>
      <x:c r="P54" s="218" t="n">
        <x:v>3375000</x:v>
      </x:c>
      <x:c r="Q54" s="218" t="n">
        <x:v>750000</x:v>
      </x:c>
      <x:c r="R54" s="219" t="n">
        <x:f>IF(N54="","",N54-O54-P54)</x:f>
        <x:v>7500000</x:v>
      </x:c>
      <x:c r="S54" s="219" t="n">
        <x:f>IF(R54="","",R54-Q54)</x:f>
        <x:v>6750000</x:v>
      </x:c>
      <x:c r="T54" s="214" t="str">
        <x:v>All</x:v>
      </x:c>
      <x:c r="U54" s="214" t="str">
        <x:v>valid</x:v>
      </x:c>
    </x:row>
    <x:row r="55" ht="20" customHeight="1">
      <x:c r="B55" s="214" t="str">
        <x:v>Product</x:v>
      </x:c>
      <x:c r="C55" s="216" t="n">
        <x:v>46082</x:v>
      </x:c>
      <x:c r="D55" s="214" t="n">
        <x:v>1</x:v>
      </x:c>
      <x:c r="E55" s="214" t="str">
        <x:v>Product</x:v>
      </x:c>
      <x:c r="F55" s="214" t="str">
        <x:v>Canvas Bag</x:v>
      </x:c>
      <x:c r="G55" s="214" t="str">
        <x:v>BAG-CNV</x:v>
      </x:c>
      <x:c r="H55" s="214" t="str">
        <x:v>Accessories</x:v>
      </x:c>
      <x:c r="I55" s="214" t="str">
        <x:v>All</x:v>
      </x:c>
      <x:c r="J55" s="216" t="n">
        <x:v>46113</x:v>
      </x:c>
      <x:c r="K55" s="217"/>
      <x:c r="L55" s="217" t="n">
        <x:v>129</x:v>
      </x:c>
      <x:c r="M55" s="217" t="n">
        <x:v>180</x:v>
      </x:c>
      <x:c r="N55" s="218" t="n">
        <x:v>22500000</x:v>
      </x:c>
      <x:c r="O55" s="218" t="n">
        <x:v>9450000</x:v>
      </x:c>
      <x:c r="P55" s="218" t="n">
        <x:v>4050000</x:v>
      </x:c>
      <x:c r="Q55" s="218" t="n">
        <x:v>900000</x:v>
      </x:c>
      <x:c r="R55" s="219" t="n">
        <x:f>IF(N55="","",N55-O55-P55)</x:f>
        <x:v>9000000</x:v>
      </x:c>
      <x:c r="S55" s="219" t="n">
        <x:f>IF(R55="","",R55-Q55)</x:f>
        <x:v>8100000</x:v>
      </x:c>
      <x:c r="T55" s="214" t="str">
        <x:v>All</x:v>
      </x:c>
      <x:c r="U55" s="214" t="str">
        <x:v>valid</x:v>
      </x:c>
    </x:row>
    <x:row r="56" ht="20" customHeight="1">
      <x:c r="B56" s="214" t="str">
        <x:v>Product</x:v>
      </x:c>
      <x:c r="C56" s="216" t="n">
        <x:v>46082</x:v>
      </x:c>
      <x:c r="D56" s="214" t="n">
        <x:v>2</x:v>
      </x:c>
      <x:c r="E56" s="214" t="str">
        <x:v>Product</x:v>
      </x:c>
      <x:c r="F56" s="214" t="str">
        <x:v>Canvas Bag</x:v>
      </x:c>
      <x:c r="G56" s="214" t="str">
        <x:v>BAG-CNV</x:v>
      </x:c>
      <x:c r="H56" s="214" t="str">
        <x:v>Accessories</x:v>
      </x:c>
      <x:c r="I56" s="214" t="str">
        <x:v>All</x:v>
      </x:c>
      <x:c r="J56" s="216" t="n">
        <x:v>46143</x:v>
      </x:c>
      <x:c r="K56" s="217"/>
      <x:c r="L56" s="217" t="n">
        <x:v>157</x:v>
      </x:c>
      <x:c r="M56" s="217" t="n">
        <x:v>220</x:v>
      </x:c>
      <x:c r="N56" s="218" t="n">
        <x:v>27500000</x:v>
      </x:c>
      <x:c r="O56" s="218" t="n">
        <x:v>11550000</x:v>
      </x:c>
      <x:c r="P56" s="218" t="n">
        <x:v>4950000</x:v>
      </x:c>
      <x:c r="Q56" s="218" t="n">
        <x:v>1100000</x:v>
      </x:c>
      <x:c r="R56" s="219" t="n">
        <x:f>IF(N56="","",N56-O56-P56)</x:f>
        <x:v>11000000</x:v>
      </x:c>
      <x:c r="S56" s="219" t="n">
        <x:f>IF(R56="","",R56-Q56)</x:f>
        <x:v>9900000</x:v>
      </x:c>
      <x:c r="T56" s="214" t="str">
        <x:v>All</x:v>
      </x:c>
      <x:c r="U56" s="214" t="str">
        <x:v>valid</x:v>
      </x:c>
    </x:row>
    <x:row r="57" ht="20" customHeight="1">
      <x:c r="B57" s="214" t="str">
        <x:v>Product</x:v>
      </x:c>
      <x:c r="C57" s="216" t="n">
        <x:v>46082</x:v>
      </x:c>
      <x:c r="D57" s="214" t="n">
        <x:v>3</x:v>
      </x:c>
      <x:c r="E57" s="214" t="str">
        <x:v>Product</x:v>
      </x:c>
      <x:c r="F57" s="214" t="str">
        <x:v>Canvas Bag</x:v>
      </x:c>
      <x:c r="G57" s="214" t="str">
        <x:v>BAG-CNV</x:v>
      </x:c>
      <x:c r="H57" s="214" t="str">
        <x:v>Accessories</x:v>
      </x:c>
      <x:c r="I57" s="214" t="str">
        <x:v>All</x:v>
      </x:c>
      <x:c r="J57" s="216" t="n">
        <x:v>46174</x:v>
      </x:c>
      <x:c r="K57" s="217"/>
      <x:c r="L57" s="217" t="n">
        <x:v>179</x:v>
      </x:c>
      <x:c r="M57" s="217" t="n">
        <x:v>250</x:v>
      </x:c>
      <x:c r="N57" s="218" t="n">
        <x:v>31250000</x:v>
      </x:c>
      <x:c r="O57" s="218" t="n">
        <x:v>13125000</x:v>
      </x:c>
      <x:c r="P57" s="218" t="n">
        <x:v>5625000</x:v>
      </x:c>
      <x:c r="Q57" s="218" t="n">
        <x:v>1250000</x:v>
      </x:c>
      <x:c r="R57" s="219" t="n">
        <x:f>IF(N57="","",N57-O57-P57)</x:f>
        <x:v>12500000</x:v>
      </x:c>
      <x:c r="S57" s="219" t="n">
        <x:f>IF(R57="","",R57-Q57)</x:f>
        <x:v>11250000</x:v>
      </x:c>
      <x:c r="T57" s="214" t="str">
        <x:v>All</x:v>
      </x:c>
      <x:c r="U57" s="214" t="str">
        <x:v>valid</x:v>
      </x:c>
    </x:row>
  </x:sheetData>
  <x:mergeCells>
    <x:mergeCell ref="B2:T2"/>
    <x:mergeCell ref="B3:T3"/>
    <x:mergeCell ref="B4:T4"/>
    <x:mergeCell ref="B7:T7"/>
  </x:mergeCells>
  <x:pageMargins left="0.7" right="0.7" top="0.75" bottom="0.75" header="0.3" footer="0.3"/>
  <x:tableParts count="1">
    <x:tablePart xmlns:r="http://schemas.openxmlformats.org/officeDocument/2006/relationships" r:id="R52bf1244174649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0" hidden="0" customWidth="1"/>
    <x:col min="3" max="3" width="12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13" hidden="0" customWidth="1"/>
    <x:col min="13" max="13" width="12" hidden="0" customWidth="1"/>
    <x:col min="14" max="14" width="15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2" ht="24" customHeight="1">
      <x:c r="B2" s="192" t="str">
        <x:v>Marketplace Analytics — Cohort Analysis</x:v>
      </x:c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  <x:c r="W2" s="192"/>
    </x:row>
    <x:row r="3" ht="24" customHeight="1">
      <x:c r="B3" s="194" t="str">
        <x:v>Customer and Product Cohort | SQL-ready aggregation contract</x:v>
      </x:c>
      <x:c r="C3" s="194"/>
      <x:c r="D3" s="194"/>
      <x:c r="E3" s="194"/>
      <x:c r="F3" s="194"/>
      <x:c r="G3" s="194"/>
      <x:c r="H3" s="194"/>
      <x:c r="I3" s="194"/>
      <x:c r="J3" s="194"/>
      <x:c r="K3" s="194"/>
      <x:c r="L3" s="194"/>
      <x:c r="M3" s="194"/>
      <x:c r="N3" s="194"/>
      <x:c r="O3" s="194"/>
      <x:c r="P3" s="194"/>
      <x:c r="Q3" s="194"/>
      <x:c r="R3" s="194"/>
      <x:c r="S3" s="194"/>
      <x:c r="T3" s="194"/>
      <x:c r="U3" s="194"/>
      <x:c r="V3" s="194"/>
      <x:c r="W3" s="194"/>
    </x:row>
    <x:row r="4" ht="24" customHeight="1">
      <x:c r="B4" s="196" t="str">
        <x:v>Synthetic sample only. Controls and matrix formulas are ready to receive a real cohort extract.</x:v>
      </x:c>
      <x:c r="C4" s="196"/>
      <x:c r="D4" s="196"/>
      <x:c r="E4" s="196"/>
      <x:c r="F4" s="196"/>
      <x:c r="G4" s="196"/>
      <x:c r="H4" s="196"/>
      <x:c r="I4" s="196"/>
      <x:c r="J4" s="196"/>
      <x:c r="K4" s="196"/>
      <x:c r="L4" s="196"/>
      <x:c r="M4" s="196"/>
      <x:c r="N4" s="196"/>
      <x:c r="O4" s="196"/>
      <x:c r="P4" s="196"/>
      <x:c r="Q4" s="196"/>
      <x:c r="R4" s="196"/>
      <x:c r="S4" s="196"/>
      <x:c r="T4" s="196"/>
      <x:c r="U4" s="196"/>
      <x:c r="V4" s="196"/>
      <x:c r="W4" s="196"/>
    </x:row>
    <x:row r="6">
      <x:c r="B6" s="198" t="str">
        <x:v>CONTROLS — EDIT YELLOW CELLS</x:v>
      </x:c>
      <x:c r="C6" s="198"/>
      <x:c r="D6" s="198"/>
      <x:c r="E6" s="198"/>
      <x:c r="F6" s="198"/>
      <x:c r="G6" s="198"/>
      <x:c r="H6" s="198"/>
      <x:c r="I6" s="198"/>
      <x:c r="J6" s="198"/>
      <x:c r="K6" s="198"/>
      <x:c r="L6" s="198"/>
      <x:c r="M6" s="198"/>
      <x:c r="N6" s="198"/>
      <x:c r="O6" s="198"/>
      <x:c r="P6" s="198"/>
      <x:c r="Q6" s="198"/>
      <x:c r="R6" s="198"/>
      <x:c r="S6" s="198"/>
      <x:c r="T6" s="198"/>
      <x:c r="U6" s="198"/>
      <x:c r="V6" s="198"/>
      <x:c r="W6" s="198"/>
    </x:row>
    <x:row r="8">
      <x:c r="B8" s="158" t="str">
        <x:v>Mode</x:v>
      </x:c>
      <x:c r="C8" s="221" t="str">
        <x:v>Customer Cohort</x:v>
      </x:c>
      <x:c r="D8" s="158" t="str"/>
      <x:c r="E8" s="158" t="str">
        <x:v>Metric</x:v>
      </x:c>
      <x:c r="F8" s="221" t="str">
        <x:v>Retention %</x:v>
      </x:c>
      <x:c r="G8" s="158" t="str"/>
      <x:c r="H8" s="158" t="str">
        <x:v>Date From</x:v>
      </x:c>
      <x:c r="I8" s="222" t="n">
        <x:v>46023</x:v>
      </x:c>
      <x:c r="J8" s="158" t="str"/>
      <x:c r="K8" s="158" t="str">
        <x:v>Date To</x:v>
      </x:c>
      <x:c r="L8" s="222" t="n">
        <x:v>46174</x:v>
      </x:c>
      <x:c r="M8" s="158" t="str"/>
      <x:c r="N8" s="158" t="str">
        <x:v>Marketplace</x:v>
      </x:c>
      <x:c r="O8" s="221" t="str">
        <x:v>All</x:v>
      </x:c>
      <x:c r="P8" s="158" t="str">
        <x:v>Store</x:v>
      </x:c>
      <x:c r="Q8" s="221" t="str">
        <x:v>All</x:v>
      </x:c>
      <x:c r="R8" s="158" t="str">
        <x:v>Category</x:v>
      </x:c>
      <x:c r="S8" s="221" t="str">
        <x:v>All</x:v>
      </x:c>
      <x:c r="T8" s="158" t="str">
        <x:v>Product</x:v>
      </x:c>
      <x:c r="U8" s="221" t="str">
        <x:v>All</x:v>
      </x:c>
      <x:c r="V8" s="158" t="str">
        <x:v>SKU</x:v>
      </x:c>
      <x:c r="W8" s="221" t="str">
        <x:v>All</x:v>
      </x:c>
    </x:row>
    <x:row r="10">
      <x:c r="B10" s="201" t="str">
        <x:v>BEST COHORT</x:v>
      </x:c>
      <x:c r="C10" s="225" t="n">
        <x:f>IFERROR(INDEX($B$16:$B$21,MATCH(MAX($E$16:$E$21),$E$16:$E$21,0)),"")</x:f>
        <x:v>46113</x:v>
      </x:c>
      <x:c r="D10" s="201"/>
      <x:c r="E10" s="201" t="str">
        <x:v>AVG M1</x:v>
      </x:c>
      <x:c r="F10" s="226" t="n">
        <x:f>IFERROR(AVERAGE($E$16:$E$21),"")</x:f>
        <x:v>0.19992059859728653</x:v>
      </x:c>
      <x:c r="G10" s="201"/>
      <x:c r="H10" s="201" t="str">
        <x:v>AVG M3</x:v>
      </x:c>
      <x:c r="I10" s="226" t="n">
        <x:f>IFERROR(AVERAGE($G$16:$G$21),"")</x:f>
        <x:v>0.11313115129073258</x:v>
      </x:c>
      <x:c r="J10" s="201"/>
      <x:c r="K10" s="201" t="str">
        <x:v>COHORTS IN VIEW</x:v>
      </x:c>
      <x:c r="L10" s="227" t="n">
        <x:f>COUNTA($B$16:$B$21)</x:f>
        <x:v>6</x:v>
      </x:c>
    </x:row>
    <x:row r="12">
      <x:c r="B12" s="198" t="str">
        <x:v>CUSTOMER COHORT — SELECTED METRIC</x:v>
      </x:c>
      <x:c r="C12" s="198"/>
      <x:c r="D12" s="198"/>
      <x:c r="E12" s="198"/>
      <x:c r="F12" s="198"/>
      <x:c r="G12" s="198"/>
      <x:c r="H12" s="198"/>
      <x:c r="I12" s="198"/>
    </x:row>
    <x:row r="13">
      <x:c r="B13" s="229" t="str">
        <x:v>Retention % is the default. M0 is the first purchase month; future/unavailable cells remain blank.</x:v>
      </x:c>
      <x:c r="C13" s="229"/>
      <x:c r="D13" s="229"/>
      <x:c r="E13" s="229"/>
      <x:c r="F13" s="229"/>
      <x:c r="G13" s="229"/>
      <x:c r="H13" s="229"/>
      <x:c r="I13" s="229"/>
    </x:row>
    <x:row r="15">
      <x:c r="B15" s="158" t="str">
        <x:v>Cohort</x:v>
      </x:c>
      <x:c r="C15" s="158" t="str">
        <x:v>Customers</x:v>
      </x:c>
      <x:c r="D15" s="230" t="n">
        <x:v>0</x:v>
      </x:c>
      <x:c r="E15" s="230" t="n">
        <x:v>1</x:v>
      </x:c>
      <x:c r="F15" s="230" t="n">
        <x:v>2</x:v>
      </x:c>
      <x:c r="G15" s="230" t="n">
        <x:v>3</x:v>
      </x:c>
      <x:c r="H15" s="230" t="n">
        <x:v>4</x:v>
      </x:c>
      <x:c r="I15" s="230" t="n">
        <x:v>5</x:v>
      </x:c>
    </x:row>
    <x:row r="16" ht="22" customHeight="1">
      <x:c r="B16" s="232" t="n">
        <x:v>46023</x:v>
      </x:c>
      <x:c r="C16" s="234" t="n">
        <x:f>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Input'!$D$16:$D$75,0)</x:f>
        <x:v>1240</x:v>
      </x:c>
      <x:c r="D16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Input'!$D$16:$D$75,D$15)=0,"",IF($F$8="Retention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Input'!$D$16:$D$75,D$15)/$C16,""),IF($F$8="Active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Input'!$D$16:$D$75,D$15),IF($F$8="Orders",SUMIFS('Cohort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Input'!$D$16:$D$75,D$15),IF($F$8="Qty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Input'!$D$16:$D$75,D$15),SUMIFS('Cohort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Input'!$D$16:$D$75,D$15))))))</x:f>
        <x:v>1</x:v>
      </x:c>
      <x:c r="E16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Input'!$D$16:$D$75,E$15)=0,"",IF($F$8="Retention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Input'!$D$16:$D$75,E$15)/$C16,""),IF($F$8="Active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Input'!$D$16:$D$75,E$15),IF($F$8="Orders",SUMIFS('Cohort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Input'!$D$16:$D$75,E$15),IF($F$8="Qty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Input'!$D$16:$D$75,E$15),SUMIFS('Cohort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Input'!$D$16:$D$75,E$15))))))</x:f>
        <x:v>0.17983870967741936</x:v>
      </x:c>
      <x:c r="F16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Input'!$D$16:$D$75,F$15)=0,"",IF($F$8="Retention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Input'!$D$16:$D$75,F$15)/$C16,""),IF($F$8="Active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Input'!$D$16:$D$75,F$15),IF($F$8="Orders",SUMIFS('Cohort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Input'!$D$16:$D$75,F$15),IF($F$8="Qty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Input'!$D$16:$D$75,F$15),SUMIFS('Cohort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Input'!$D$16:$D$75,F$15))))))</x:f>
        <x:v>0.12983870967741937</x:v>
      </x:c>
      <x:c r="G16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Input'!$D$16:$D$75,G$15)=0,"",IF($F$8="Retention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Input'!$D$16:$D$75,G$15)/$C16,""),IF($F$8="Active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Input'!$D$16:$D$75,G$15),IF($F$8="Orders",SUMIFS('Cohort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Input'!$D$16:$D$75,G$15),IF($F$8="Qty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Input'!$D$16:$D$75,G$15),SUMIFS('Cohort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Input'!$D$16:$D$75,G$15))))))</x:f>
        <x:v>0.10967741935483871</x:v>
      </x:c>
      <x:c r="H16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Input'!$D$16:$D$75,H$15)=0,"",IF($F$8="Retention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Input'!$D$16:$D$75,H$15)/$C16,""),IF($F$8="Active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Input'!$D$16:$D$75,H$15),IF($F$8="Orders",SUMIFS('Cohort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Input'!$D$16:$D$75,H$15),IF($F$8="Qty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Input'!$D$16:$D$75,H$15),SUMIFS('Cohort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Input'!$D$16:$D$75,H$15))))))</x:f>
        <x:v>0.09032258064516129</x:v>
      </x:c>
      <x:c r="I16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Input'!$D$16:$D$75,I$15)=0,"",IF($F$8="Retention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Input'!$D$16:$D$75,I$15)/$C16,""),IF($F$8="Active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Input'!$D$16:$D$75,I$15),IF($F$8="Orders",SUMIFS('Cohort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Input'!$D$16:$D$75,I$15),IF($F$8="Qty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Input'!$D$16:$D$75,I$15),SUMIFS('Cohort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Input'!$C$16:$C$75,$B16,'Cohort Input'!$D$16:$D$75,I$15))))))</x:f>
        <x:v>0.07016129032258064</x:v>
      </x:c>
    </x:row>
    <x:row r="17" ht="22" customHeight="1">
      <x:c r="B17" s="232" t="n">
        <x:v>46054</x:v>
      </x:c>
      <x:c r="C17" s="234" t="n">
        <x:f>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Input'!$D$16:$D$75,0)</x:f>
        <x:v>1510</x:v>
      </x:c>
      <x:c r="D17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Input'!$D$16:$D$75,D$15)=0,"",IF($F$8="Retention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Input'!$D$16:$D$75,D$15)/$C17,""),IF($F$8="Active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Input'!$D$16:$D$75,D$15),IF($F$8="Orders",SUMIFS('Cohort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Input'!$D$16:$D$75,D$15),IF($F$8="Qty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Input'!$D$16:$D$75,D$15),SUMIFS('Cohort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Input'!$D$16:$D$75,D$15))))))</x:f>
        <x:v>1</x:v>
      </x:c>
      <x:c r="E17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Input'!$D$16:$D$75,E$15)=0,"",IF($F$8="Retention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Input'!$D$16:$D$75,E$15)/$C17,""),IF($F$8="Active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Input'!$D$16:$D$75,E$15),IF($F$8="Orders",SUMIFS('Cohort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Input'!$D$16:$D$75,E$15),IF($F$8="Qty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Input'!$D$16:$D$75,E$15),SUMIFS('Cohort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Input'!$D$16:$D$75,E$15))))))</x:f>
        <x:v>0.2099337748344371</x:v>
      </x:c>
      <x:c r="F17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Input'!$D$16:$D$75,F$15)=0,"",IF($F$8="Retention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Input'!$D$16:$D$75,F$15)/$C17,""),IF($F$8="Active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Input'!$D$16:$D$75,F$15),IF($F$8="Orders",SUMIFS('Cohort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Input'!$D$16:$D$75,F$15),IF($F$8="Qty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Input'!$D$16:$D$75,F$15),SUMIFS('Cohort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Input'!$D$16:$D$75,F$15))))))</x:f>
        <x:v>0.16026490066225166</x:v>
      </x:c>
      <x:c r="G17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Input'!$D$16:$D$75,G$15)=0,"",IF($F$8="Retention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Input'!$D$16:$D$75,G$15)/$C17,""),IF($F$8="Active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Input'!$D$16:$D$75,G$15),IF($F$8="Orders",SUMIFS('Cohort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Input'!$D$16:$D$75,G$15),IF($F$8="Qty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Input'!$D$16:$D$75,G$15),SUMIFS('Cohort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Input'!$D$16:$D$75,G$15))))))</x:f>
        <x:v>0.11986754966887417</x:v>
      </x:c>
      <x:c r="H17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Input'!$D$16:$D$75,H$15)=0,"",IF($F$8="Retention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Input'!$D$16:$D$75,H$15)/$C17,""),IF($F$8="Active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Input'!$D$16:$D$75,H$15),IF($F$8="Orders",SUMIFS('Cohort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Input'!$D$16:$D$75,H$15),IF($F$8="Qty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Input'!$D$16:$D$75,H$15),SUMIFS('Cohort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Input'!$D$16:$D$75,H$15))))))</x:f>
        <x:v>0.09006622516556291</x:v>
      </x:c>
      <x:c r="I17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Input'!$D$16:$D$75,I$15)=0,"",IF($F$8="Retention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Input'!$D$16:$D$75,I$15)/$C17,""),IF($F$8="Active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Input'!$D$16:$D$75,I$15),IF($F$8="Orders",SUMIFS('Cohort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Input'!$D$16:$D$75,I$15),IF($F$8="Qty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Input'!$D$16:$D$75,I$15),SUMIFS('Cohort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Input'!$C$16:$C$75,$B17,'Cohort Input'!$D$16:$D$75,I$15))))))</x:f>
      </x:c>
    </x:row>
    <x:row r="18" ht="22" customHeight="1">
      <x:c r="B18" s="232" t="n">
        <x:v>46082</x:v>
      </x:c>
      <x:c r="C18" s="234" t="n">
        <x:f>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Input'!$D$16:$D$75,0)</x:f>
        <x:v>1320</x:v>
      </x:c>
      <x:c r="D18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Input'!$D$16:$D$75,D$15)=0,"",IF($F$8="Retention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Input'!$D$16:$D$75,D$15)/$C18,""),IF($F$8="Active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Input'!$D$16:$D$75,D$15),IF($F$8="Orders",SUMIFS('Cohort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Input'!$D$16:$D$75,D$15),IF($F$8="Qty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Input'!$D$16:$D$75,D$15),SUMIFS('Cohort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Input'!$D$16:$D$75,D$15))))))</x:f>
        <x:v>1</x:v>
      </x:c>
      <x:c r="E18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Input'!$D$16:$D$75,E$15)=0,"",IF($F$8="Retention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Input'!$D$16:$D$75,E$15)/$C18,""),IF($F$8="Active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Input'!$D$16:$D$75,E$15),IF($F$8="Orders",SUMIFS('Cohort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Input'!$D$16:$D$75,E$15),IF($F$8="Qty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Input'!$D$16:$D$75,E$15),SUMIFS('Cohort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Input'!$D$16:$D$75,E$15))))))</x:f>
        <x:v>0.2</x:v>
      </x:c>
      <x:c r="F18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Input'!$D$16:$D$75,F$15)=0,"",IF($F$8="Retention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Input'!$D$16:$D$75,F$15)/$C18,""),IF($F$8="Active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Input'!$D$16:$D$75,F$15),IF($F$8="Orders",SUMIFS('Cohort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Input'!$D$16:$D$75,F$15),IF($F$8="Qty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Input'!$D$16:$D$75,F$15),SUMIFS('Cohort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Input'!$D$16:$D$75,F$15))))))</x:f>
        <x:v>0.15</x:v>
      </x:c>
      <x:c r="G18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Input'!$D$16:$D$75,G$15)=0,"",IF($F$8="Retention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Input'!$D$16:$D$75,G$15)/$C18,""),IF($F$8="Active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Input'!$D$16:$D$75,G$15),IF($F$8="Orders",SUMIFS('Cohort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Input'!$D$16:$D$75,G$15),IF($F$8="Qty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Input'!$D$16:$D$75,G$15),SUMIFS('Cohort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Input'!$D$16:$D$75,G$15))))))</x:f>
        <x:v>0.10984848484848485</x:v>
      </x:c>
      <x:c r="H18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Input'!$D$16:$D$75,H$15)=0,"",IF($F$8="Retention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Input'!$D$16:$D$75,H$15)/$C18,""),IF($F$8="Active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Input'!$D$16:$D$75,H$15),IF($F$8="Orders",SUMIFS('Cohort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Input'!$D$16:$D$75,H$15),IF($F$8="Qty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Input'!$D$16:$D$75,H$15),SUMIFS('Cohort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Input'!$D$16:$D$75,H$15))))))</x:f>
      </x:c>
      <x:c r="I18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Input'!$D$16:$D$75,I$15)=0,"",IF($F$8="Retention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Input'!$D$16:$D$75,I$15)/$C18,""),IF($F$8="Active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Input'!$D$16:$D$75,I$15),IF($F$8="Orders",SUMIFS('Cohort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Input'!$D$16:$D$75,I$15),IF($F$8="Qty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Input'!$D$16:$D$75,I$15),SUMIFS('Cohort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Input'!$C$16:$C$75,$B18,'Cohort Input'!$D$16:$D$75,I$15))))))</x:f>
      </x:c>
    </x:row>
    <x:row r="19" ht="22" customHeight="1">
      <x:c r="B19" s="232" t="n">
        <x:v>46113</x:v>
      </x:c>
      <x:c r="C19" s="234" t="n">
        <x:f>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Input'!$D$16:$D$75,0)</x:f>
        <x:v>1450</x:v>
      </x:c>
      <x:c r="D19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Input'!$D$16:$D$75,D$15)=0,"",IF($F$8="Retention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Input'!$D$16:$D$75,D$15)/$C19,""),IF($F$8="Active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Input'!$D$16:$D$75,D$15),IF($F$8="Orders",SUMIFS('Cohort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Input'!$D$16:$D$75,D$15),IF($F$8="Qty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Input'!$D$16:$D$75,D$15),SUMIFS('Cohort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Input'!$D$16:$D$75,D$15))))))</x:f>
        <x:v>1</x:v>
      </x:c>
      <x:c r="E19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Input'!$D$16:$D$75,E$15)=0,"",IF($F$8="Retention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Input'!$D$16:$D$75,E$15)/$C19,""),IF($F$8="Active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Input'!$D$16:$D$75,E$15),IF($F$8="Orders",SUMIFS('Cohort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Input'!$D$16:$D$75,E$15),IF($F$8="Qty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Input'!$D$16:$D$75,E$15),SUMIFS('Cohort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Input'!$D$16:$D$75,E$15))))))</x:f>
        <x:v>0.22</x:v>
      </x:c>
      <x:c r="F19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Input'!$D$16:$D$75,F$15)=0,"",IF($F$8="Retention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Input'!$D$16:$D$75,F$15)/$C19,""),IF($F$8="Active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Input'!$D$16:$D$75,F$15),IF($F$8="Orders",SUMIFS('Cohort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Input'!$D$16:$D$75,F$15),IF($F$8="Qty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Input'!$D$16:$D$75,F$15),SUMIFS('Cohort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Input'!$D$16:$D$75,F$15))))))</x:f>
        <x:v>0.16</x:v>
      </x:c>
      <x:c r="G19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Input'!$D$16:$D$75,G$15)=0,"",IF($F$8="Retention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Input'!$D$16:$D$75,G$15)/$C19,""),IF($F$8="Active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Input'!$D$16:$D$75,G$15),IF($F$8="Orders",SUMIFS('Cohort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Input'!$D$16:$D$75,G$15),IF($F$8="Qty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Input'!$D$16:$D$75,G$15),SUMIFS('Cohort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Input'!$D$16:$D$75,G$15))))))</x:f>
      </x:c>
      <x:c r="H19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Input'!$D$16:$D$75,H$15)=0,"",IF($F$8="Retention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Input'!$D$16:$D$75,H$15)/$C19,""),IF($F$8="Active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Input'!$D$16:$D$75,H$15),IF($F$8="Orders",SUMIFS('Cohort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Input'!$D$16:$D$75,H$15),IF($F$8="Qty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Input'!$D$16:$D$75,H$15),SUMIFS('Cohort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Input'!$D$16:$D$75,H$15))))))</x:f>
      </x:c>
      <x:c r="I19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Input'!$D$16:$D$75,I$15)=0,"",IF($F$8="Retention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Input'!$D$16:$D$75,I$15)/$C19,""),IF($F$8="Active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Input'!$D$16:$D$75,I$15),IF($F$8="Orders",SUMIFS('Cohort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Input'!$D$16:$D$75,I$15),IF($F$8="Qty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Input'!$D$16:$D$75,I$15),SUMIFS('Cohort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Input'!$C$16:$C$75,$B19,'Cohort Input'!$D$16:$D$75,I$15))))))</x:f>
      </x:c>
    </x:row>
    <x:row r="20" ht="22" customHeight="1">
      <x:c r="B20" s="232" t="n">
        <x:v>46143</x:v>
      </x:c>
      <x:c r="C20" s="234" t="n">
        <x:f>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Input'!$D$16:$D$75,0)</x:f>
        <x:v>1180</x:v>
      </x:c>
      <x:c r="D20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Input'!$D$16:$D$75,D$15)=0,"",IF($F$8="Retention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Input'!$D$16:$D$75,D$15)/$C20,""),IF($F$8="Active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Input'!$D$16:$D$75,D$15),IF($F$8="Orders",SUMIFS('Cohort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Input'!$D$16:$D$75,D$15),IF($F$8="Qty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Input'!$D$16:$D$75,D$15),SUMIFS('Cohort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Input'!$D$16:$D$75,D$15))))))</x:f>
        <x:v>1</x:v>
      </x:c>
      <x:c r="E20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Input'!$D$16:$D$75,E$15)=0,"",IF($F$8="Retention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Input'!$D$16:$D$75,E$15)/$C20,""),IF($F$8="Active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Input'!$D$16:$D$75,E$15),IF($F$8="Orders",SUMIFS('Cohort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Input'!$D$16:$D$75,E$15),IF($F$8="Qty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Input'!$D$16:$D$75,E$15),SUMIFS('Cohort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Input'!$D$16:$D$75,E$15))))))</x:f>
        <x:v>0.18983050847457628</x:v>
      </x:c>
      <x:c r="F20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Input'!$D$16:$D$75,F$15)=0,"",IF($F$8="Retention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Input'!$D$16:$D$75,F$15)/$C20,""),IF($F$8="Active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Input'!$D$16:$D$75,F$15),IF($F$8="Orders",SUMIFS('Cohort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Input'!$D$16:$D$75,F$15),IF($F$8="Qty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Input'!$D$16:$D$75,F$15),SUMIFS('Cohort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Input'!$D$16:$D$75,F$15))))))</x:f>
      </x:c>
      <x:c r="G20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Input'!$D$16:$D$75,G$15)=0,"",IF($F$8="Retention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Input'!$D$16:$D$75,G$15)/$C20,""),IF($F$8="Active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Input'!$D$16:$D$75,G$15),IF($F$8="Orders",SUMIFS('Cohort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Input'!$D$16:$D$75,G$15),IF($F$8="Qty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Input'!$D$16:$D$75,G$15),SUMIFS('Cohort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Input'!$D$16:$D$75,G$15))))))</x:f>
      </x:c>
      <x:c r="H20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Input'!$D$16:$D$75,H$15)=0,"",IF($F$8="Retention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Input'!$D$16:$D$75,H$15)/$C20,""),IF($F$8="Active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Input'!$D$16:$D$75,H$15),IF($F$8="Orders",SUMIFS('Cohort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Input'!$D$16:$D$75,H$15),IF($F$8="Qty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Input'!$D$16:$D$75,H$15),SUMIFS('Cohort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Input'!$D$16:$D$75,H$15))))))</x:f>
      </x:c>
      <x:c r="I20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Input'!$D$16:$D$75,I$15)=0,"",IF($F$8="Retention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Input'!$D$16:$D$75,I$15)/$C20,""),IF($F$8="Active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Input'!$D$16:$D$75,I$15),IF($F$8="Orders",SUMIFS('Cohort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Input'!$D$16:$D$75,I$15),IF($F$8="Qty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Input'!$D$16:$D$75,I$15),SUMIFS('Cohort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Input'!$C$16:$C$75,$B20,'Cohort Input'!$D$16:$D$75,I$15))))))</x:f>
      </x:c>
    </x:row>
    <x:row r="21" ht="22" customHeight="1">
      <x:c r="B21" s="232" t="n">
        <x:v>46174</x:v>
      </x:c>
      <x:c r="C21" s="234" t="n">
        <x:f>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Input'!$D$16:$D$75,0)</x:f>
        <x:v>980</x:v>
      </x:c>
      <x:c r="D21" s="237" t="n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Input'!$D$16:$D$75,D$15)=0,"",IF($F$8="Retention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Input'!$D$16:$D$75,D$15)/$C21,""),IF($F$8="Active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Input'!$D$16:$D$75,D$15),IF($F$8="Orders",SUMIFS('Cohort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Input'!$D$16:$D$75,D$15),IF($F$8="Qty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Input'!$D$16:$D$75,D$15),SUMIFS('Cohort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Input'!$D$16:$D$75,D$15))))))</x:f>
        <x:v>1</x:v>
      </x:c>
      <x:c r="E21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Input'!$D$16:$D$75,E$15)=0,"",IF($F$8="Retention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Input'!$D$16:$D$75,E$15)/$C21,""),IF($F$8="Active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Input'!$D$16:$D$75,E$15),IF($F$8="Orders",SUMIFS('Cohort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Input'!$D$16:$D$75,E$15),IF($F$8="Qty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Input'!$D$16:$D$75,E$15),SUMIFS('Cohort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Input'!$D$16:$D$75,E$15))))))</x:f>
      </x:c>
      <x:c r="F21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Input'!$D$16:$D$75,F$15)=0,"",IF($F$8="Retention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Input'!$D$16:$D$75,F$15)/$C21,""),IF($F$8="Active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Input'!$D$16:$D$75,F$15),IF($F$8="Orders",SUMIFS('Cohort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Input'!$D$16:$D$75,F$15),IF($F$8="Qty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Input'!$D$16:$D$75,F$15),SUMIFS('Cohort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Input'!$D$16:$D$75,F$15))))))</x:f>
      </x:c>
      <x:c r="G21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Input'!$D$16:$D$75,G$15)=0,"",IF($F$8="Retention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Input'!$D$16:$D$75,G$15)/$C21,""),IF($F$8="Active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Input'!$D$16:$D$75,G$15),IF($F$8="Orders",SUMIFS('Cohort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Input'!$D$16:$D$75,G$15),IF($F$8="Qty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Input'!$D$16:$D$75,G$15),SUMIFS('Cohort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Input'!$D$16:$D$75,G$15))))))</x:f>
      </x:c>
      <x:c r="H21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Input'!$D$16:$D$75,H$15)=0,"",IF($F$8="Retention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Input'!$D$16:$D$75,H$15)/$C21,""),IF($F$8="Active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Input'!$D$16:$D$75,H$15),IF($F$8="Orders",SUMIFS('Cohort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Input'!$D$16:$D$75,H$15),IF($F$8="Qty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Input'!$D$16:$D$75,H$15),SUMIFS('Cohort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Input'!$D$16:$D$75,H$15))))))</x:f>
      </x:c>
      <x:c r="I21" s="237" t="str">
        <x:f>IF(SUMIFS('Cohort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Input'!$D$16:$D$75,I$15)=0,"",IF($F$8="Retention %",IFERROR(SUMIFS('Cohort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Input'!$D$16:$D$75,I$15)/$C21,""),IF($F$8="Active Customers",SUMIFS('Cohort Input'!$K$16:$K$75,'Cohort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Input'!$D$16:$D$75,I$15),IF($F$8="Orders",SUMIFS('Cohort Input'!$L$16:$L$75,'Cohort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Input'!$D$16:$D$75,I$15),IF($F$8="Qty Sold",SUMIFS('Cohort Input'!$M$16:$M$75,'Cohort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Input'!$D$16:$D$75,I$15),SUMIFS('Cohort Input'!$N$16:$N$75,'Cohort Input'!$B$16:$B$75,"Customer",'Cohort Input'!$C$16:$C$75,"&gt;="&amp;$I$8,'Cohort Input'!$J$16:$J$75,"&gt;="&amp;$I$8,'Cohort Input'!$J$16:$J$75,"&lt;="&amp;$L$8,'Cohort Input'!$I$16:$I$75,IF($O$8="All","*",$O$8),'Cohort Input'!$T$16:$T$75,IF($Q$8="All","*",$Q$8),'Cohort Input'!$H$16:$H$75,IF($S$8="All","*",$S$8),'Cohort Input'!$F$16:$F$75,IF($U$8="All","*",$U$8),'Cohort Input'!$G$16:$G$75,IF($W$8="All","*",$W$8),'Cohort Input'!$C$16:$C$75,$B21,'Cohort Input'!$D$16:$D$75,I$15))))))</x:f>
      </x:c>
    </x:row>
    <x:row r="22" ht="22" customHeight="1"/>
    <x:row r="23" ht="22" customHeight="1"/>
    <x:row r="24" ht="22" customHeight="1">
      <x:c r="B24" s="198" t="str">
        <x:v>PRODUCT COHORT — SELECTED METRIC</x:v>
      </x:c>
      <x:c r="C24" s="198"/>
      <x:c r="D24" s="198"/>
      <x:c r="E24" s="198"/>
      <x:c r="F24" s="198"/>
      <x:c r="G24" s="198"/>
      <x:c r="H24" s="198"/>
      <x:c r="I24" s="198"/>
      <x:c r="J24" s="198"/>
    </x:row>
    <x:row r="25" ht="22" customHeight="1">
      <x:c r="B25" s="224" t="str">
        <x:v>Product Metric</x:v>
      </x:c>
      <x:c r="C25" s="240" t="str">
        <x:v>Qty Sold</x:v>
      </x:c>
      <x:c r="E25" s="229" t="str">
        <x:v>Heatmap is relative to values visible after filters.</x:v>
      </x:c>
      <x:c r="F25" s="229"/>
      <x:c r="G25" s="229"/>
      <x:c r="H25" s="229"/>
      <x:c r="I25" s="229"/>
      <x:c r="J25" s="229"/>
    </x:row>
    <x:row r="26" ht="22" customHeight="1"/>
    <x:row r="27" ht="22" customHeight="1">
      <x:c r="B27" s="158" t="str">
        <x:v>Product</x:v>
      </x:c>
      <x:c r="C27" s="158" t="str">
        <x:v>SKU</x:v>
      </x:c>
      <x:c r="D27" s="158" t="str">
        <x:v>Category</x:v>
      </x:c>
      <x:c r="E27" s="158" t="str">
        <x:v>Cohort Month</x:v>
      </x:c>
      <x:c r="F27" s="230" t="n">
        <x:v>0</x:v>
      </x:c>
      <x:c r="G27" s="230" t="n">
        <x:v>1</x:v>
      </x:c>
      <x:c r="H27" s="230" t="n">
        <x:v>2</x:v>
      </x:c>
      <x:c r="I27" s="230" t="n">
        <x:v>3</x:v>
      </x:c>
      <x:c r="J27" s="230" t="n">
        <x:v>4</x:v>
      </x:c>
    </x:row>
    <x:row r="28" ht="22" customHeight="1">
      <x:c r="B28" s="215" t="str">
        <x:v>Tracktop Black</x:v>
      </x:c>
      <x:c r="C28" s="215" t="str">
        <x:v>TT-BLK</x:v>
      </x:c>
      <x:c r="D28" s="215" t="str">
        <x:v>Apparel</x:v>
      </x:c>
      <x:c r="E28" s="241" t="n">
        <x:v>46023</x:v>
      </x:c>
      <x:c r="F28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Input'!$D$16:$D$75,F$27)=0,"",IF($C$25="Qty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Input'!$D$16:$D$75,F$27),IF($C$25="Revenue",SUMIFS('Cohort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Input'!$D$16:$D$75,F$27),IF($C$25="Gross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Input'!$D$16:$D$75,F$27),IF($C$25="Gross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Input'!$D$16:$D$75,F$27)/SUMIFS('Cohort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Input'!$D$16:$D$75,F$27),""),SUMIFS('Cohort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Input'!$D$16:$D$75,F$27))))))</x:f>
        <x:v>320</x:v>
      </x:c>
      <x:c r="G28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Input'!$D$16:$D$75,G$27)=0,"",IF($C$25="Qty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Input'!$D$16:$D$75,G$27),IF($C$25="Revenue",SUMIFS('Cohort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Input'!$D$16:$D$75,G$27),IF($C$25="Gross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Input'!$D$16:$D$75,G$27),IF($C$25="Gross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Input'!$D$16:$D$75,G$27)/SUMIFS('Cohort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Input'!$D$16:$D$75,G$27),""),SUMIFS('Cohort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Input'!$D$16:$D$75,G$27))))))</x:f>
        <x:v>410</x:v>
      </x:c>
      <x:c r="H28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Input'!$D$16:$D$75,H$27)=0,"",IF($C$25="Qty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Input'!$D$16:$D$75,H$27),IF($C$25="Revenue",SUMIFS('Cohort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Input'!$D$16:$D$75,H$27),IF($C$25="Gross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Input'!$D$16:$D$75,H$27),IF($C$25="Gross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Input'!$D$16:$D$75,H$27)/SUMIFS('Cohort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Input'!$D$16:$D$75,H$27),""),SUMIFS('Cohort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Input'!$D$16:$D$75,H$27))))))</x:f>
        <x:v>530</x:v>
      </x:c>
      <x:c r="I28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Input'!$D$16:$D$75,I$27)=0,"",IF($C$25="Qty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Input'!$D$16:$D$75,I$27),IF($C$25="Revenue",SUMIFS('Cohort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Input'!$D$16:$D$75,I$27),IF($C$25="Gross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Input'!$D$16:$D$75,I$27),IF($C$25="Gross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Input'!$D$16:$D$75,I$27)/SUMIFS('Cohort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Input'!$D$16:$D$75,I$27),""),SUMIFS('Cohort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Input'!$D$16:$D$75,I$27))))))</x:f>
        <x:v>490</x:v>
      </x:c>
      <x:c r="J28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Input'!$D$16:$D$75,J$27)=0,"",IF($C$25="Qty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Input'!$D$16:$D$75,J$27),IF($C$25="Revenue",SUMIFS('Cohort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Input'!$D$16:$D$75,J$27),IF($C$25="Gross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Input'!$D$16:$D$75,J$27),IF($C$25="Gross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Input'!$D$16:$D$75,J$27)/SUMIFS('Cohort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Input'!$D$16:$D$75,J$27),""),SUMIFS('Cohort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Input'!$H$16:$H$75,$D28,'Cohort Input'!$F$16:$F$75,$B28,'Cohort Input'!$G$16:$G$75,$C28,'Cohort Input'!$D$16:$D$75,J$27))))))</x:f>
        <x:v>450</x:v>
      </x:c>
    </x:row>
    <x:row r="29" ht="22" customHeight="1">
      <x:c r="B29" s="215" t="str">
        <x:v>Tracktop Navy</x:v>
      </x:c>
      <x:c r="C29" s="215" t="str">
        <x:v>TT-NVY</x:v>
      </x:c>
      <x:c r="D29" s="215" t="str">
        <x:v>Apparel</x:v>
      </x:c>
      <x:c r="E29" s="241" t="n">
        <x:v>46023</x:v>
      </x:c>
      <x:c r="F29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Input'!$D$16:$D$75,F$27)=0,"",IF($C$25="Qty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Input'!$D$16:$D$75,F$27),IF($C$25="Revenue",SUMIFS('Cohort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Input'!$D$16:$D$75,F$27),IF($C$25="Gross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Input'!$D$16:$D$75,F$27),IF($C$25="Gross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Input'!$D$16:$D$75,F$27)/SUMIFS('Cohort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Input'!$D$16:$D$75,F$27),""),SUMIFS('Cohort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Input'!$D$16:$D$75,F$27))))))</x:f>
        <x:v>280</x:v>
      </x:c>
      <x:c r="G29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Input'!$D$16:$D$75,G$27)=0,"",IF($C$25="Qty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Input'!$D$16:$D$75,G$27),IF($C$25="Revenue",SUMIFS('Cohort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Input'!$D$16:$D$75,G$27),IF($C$25="Gross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Input'!$D$16:$D$75,G$27),IF($C$25="Gross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Input'!$D$16:$D$75,G$27)/SUMIFS('Cohort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Input'!$D$16:$D$75,G$27),""),SUMIFS('Cohort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Input'!$D$16:$D$75,G$27))))))</x:f>
        <x:v>390</x:v>
      </x:c>
      <x:c r="H29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Input'!$D$16:$D$75,H$27)=0,"",IF($C$25="Qty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Input'!$D$16:$D$75,H$27),IF($C$25="Revenue",SUMIFS('Cohort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Input'!$D$16:$D$75,H$27),IF($C$25="Gross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Input'!$D$16:$D$75,H$27),IF($C$25="Gross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Input'!$D$16:$D$75,H$27)/SUMIFS('Cohort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Input'!$D$16:$D$75,H$27),""),SUMIFS('Cohort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Input'!$D$16:$D$75,H$27))))))</x:f>
        <x:v>440</x:v>
      </x:c>
      <x:c r="I29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Input'!$D$16:$D$75,I$27)=0,"",IF($C$25="Qty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Input'!$D$16:$D$75,I$27),IF($C$25="Revenue",SUMIFS('Cohort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Input'!$D$16:$D$75,I$27),IF($C$25="Gross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Input'!$D$16:$D$75,I$27),IF($C$25="Gross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Input'!$D$16:$D$75,I$27)/SUMIFS('Cohort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Input'!$D$16:$D$75,I$27),""),SUMIFS('Cohort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Input'!$D$16:$D$75,I$27))))))</x:f>
        <x:v>510</x:v>
      </x:c>
      <x:c r="J29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Input'!$D$16:$D$75,J$27)=0,"",IF($C$25="Qty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Input'!$D$16:$D$75,J$27),IF($C$25="Revenue",SUMIFS('Cohort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Input'!$D$16:$D$75,J$27),IF($C$25="Gross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Input'!$D$16:$D$75,J$27),IF($C$25="Gross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Input'!$D$16:$D$75,J$27)/SUMIFS('Cohort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Input'!$D$16:$D$75,J$27),""),SUMIFS('Cohort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Input'!$H$16:$H$75,$D29,'Cohort Input'!$F$16:$F$75,$B29,'Cohort Input'!$G$16:$G$75,$C29,'Cohort Input'!$D$16:$D$75,J$27))))))</x:f>
        <x:v>480</x:v>
      </x:c>
    </x:row>
    <x:row r="30" ht="22" customHeight="1">
      <x:c r="B30" s="215" t="str">
        <x:v>Basic Tee White</x:v>
      </x:c>
      <x:c r="C30" s="215" t="str">
        <x:v>TEE-WHT</x:v>
      </x:c>
      <x:c r="D30" s="215" t="str">
        <x:v>Apparel</x:v>
      </x:c>
      <x:c r="E30" s="241" t="n">
        <x:v>46054</x:v>
      </x:c>
      <x:c r="F30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Input'!$D$16:$D$75,F$27)=0,"",IF($C$25="Qty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Input'!$D$16:$D$75,F$27),IF($C$25="Revenue",SUMIFS('Cohort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Input'!$D$16:$D$75,F$27),IF($C$25="Gross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Input'!$D$16:$D$75,F$27),IF($C$25="Gross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Input'!$D$16:$D$75,F$27)/SUMIFS('Cohort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Input'!$D$16:$D$75,F$27),""),SUMIFS('Cohort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Input'!$D$16:$D$75,F$27))))))</x:f>
        <x:v>220</x:v>
      </x:c>
      <x:c r="G30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Input'!$D$16:$D$75,G$27)=0,"",IF($C$25="Qty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Input'!$D$16:$D$75,G$27),IF($C$25="Revenue",SUMIFS('Cohort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Input'!$D$16:$D$75,G$27),IF($C$25="Gross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Input'!$D$16:$D$75,G$27),IF($C$25="Gross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Input'!$D$16:$D$75,G$27)/SUMIFS('Cohort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Input'!$D$16:$D$75,G$27),""),SUMIFS('Cohort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Input'!$D$16:$D$75,G$27))))))</x:f>
        <x:v>260</x:v>
      </x:c>
      <x:c r="H30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Input'!$D$16:$D$75,H$27)=0,"",IF($C$25="Qty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Input'!$D$16:$D$75,H$27),IF($C$25="Revenue",SUMIFS('Cohort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Input'!$D$16:$D$75,H$27),IF($C$25="Gross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Input'!$D$16:$D$75,H$27),IF($C$25="Gross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Input'!$D$16:$D$75,H$27)/SUMIFS('Cohort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Input'!$D$16:$D$75,H$27),""),SUMIFS('Cohort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Input'!$D$16:$D$75,H$27))))))</x:f>
        <x:v>300</x:v>
      </x:c>
      <x:c r="I30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Input'!$D$16:$D$75,I$27)=0,"",IF($C$25="Qty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Input'!$D$16:$D$75,I$27),IF($C$25="Revenue",SUMIFS('Cohort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Input'!$D$16:$D$75,I$27),IF($C$25="Gross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Input'!$D$16:$D$75,I$27),IF($C$25="Gross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Input'!$D$16:$D$75,I$27)/SUMIFS('Cohort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Input'!$D$16:$D$75,I$27),""),SUMIFS('Cohort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Input'!$D$16:$D$75,I$27))))))</x:f>
        <x:v>315</x:v>
      </x:c>
      <x:c r="J30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Input'!$D$16:$D$75,J$27)=0,"",IF($C$25="Qty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Input'!$D$16:$D$75,J$27),IF($C$25="Revenue",SUMIFS('Cohort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Input'!$D$16:$D$75,J$27),IF($C$25="Gross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Input'!$D$16:$D$75,J$27),IF($C$25="Gross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Input'!$D$16:$D$75,J$27)/SUMIFS('Cohort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Input'!$D$16:$D$75,J$27),""),SUMIFS('Cohort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Input'!$H$16:$H$75,$D30,'Cohort Input'!$F$16:$F$75,$B30,'Cohort Input'!$G$16:$G$75,$C30,'Cohort Input'!$D$16:$D$75,J$27))))))</x:f>
        <x:v>330</x:v>
      </x:c>
    </x:row>
    <x:row r="31" ht="22" customHeight="1">
      <x:c r="B31" s="215" t="str">
        <x:v>Canvas Bag</x:v>
      </x:c>
      <x:c r="C31" s="215" t="str">
        <x:v>BAG-CNV</x:v>
      </x:c>
      <x:c r="D31" s="215" t="str">
        <x:v>Accessories</x:v>
      </x:c>
      <x:c r="E31" s="241" t="n">
        <x:v>46082</x:v>
      </x:c>
      <x:c r="F31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Input'!$D$16:$D$75,F$27)=0,"",IF($C$25="Qty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Input'!$D$16:$D$75,F$27),IF($C$25="Revenue",SUMIFS('Cohort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Input'!$D$16:$D$75,F$27),IF($C$25="Gross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Input'!$D$16:$D$75,F$27),IF($C$25="Gross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Input'!$D$16:$D$75,F$27)/SUMIFS('Cohort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Input'!$D$16:$D$75,F$27),""),SUMIFS('Cohort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Input'!$D$16:$D$75,F$27))))))</x:f>
        <x:v>150</x:v>
      </x:c>
      <x:c r="G31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Input'!$D$16:$D$75,G$27)=0,"",IF($C$25="Qty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Input'!$D$16:$D$75,G$27),IF($C$25="Revenue",SUMIFS('Cohort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Input'!$D$16:$D$75,G$27),IF($C$25="Gross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Input'!$D$16:$D$75,G$27),IF($C$25="Gross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Input'!$D$16:$D$75,G$27)/SUMIFS('Cohort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Input'!$D$16:$D$75,G$27),""),SUMIFS('Cohort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Input'!$D$16:$D$75,G$27))))))</x:f>
        <x:v>180</x:v>
      </x:c>
      <x:c r="H31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Input'!$D$16:$D$75,H$27)=0,"",IF($C$25="Qty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Input'!$D$16:$D$75,H$27),IF($C$25="Revenue",SUMIFS('Cohort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Input'!$D$16:$D$75,H$27),IF($C$25="Gross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Input'!$D$16:$D$75,H$27),IF($C$25="Gross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Input'!$D$16:$D$75,H$27)/SUMIFS('Cohort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Input'!$D$16:$D$75,H$27),""),SUMIFS('Cohort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Input'!$D$16:$D$75,H$27))))))</x:f>
        <x:v>220</x:v>
      </x:c>
      <x:c r="I31" s="243" t="n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Input'!$D$16:$D$75,I$27)=0,"",IF($C$25="Qty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Input'!$D$16:$D$75,I$27),IF($C$25="Revenue",SUMIFS('Cohort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Input'!$D$16:$D$75,I$27),IF($C$25="Gross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Input'!$D$16:$D$75,I$27),IF($C$25="Gross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Input'!$D$16:$D$75,I$27)/SUMIFS('Cohort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Input'!$D$16:$D$75,I$27),""),SUMIFS('Cohort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Input'!$D$16:$D$75,I$27))))))</x:f>
        <x:v>250</x:v>
      </x:c>
      <x:c r="J31" s="243" t="str">
        <x:f>IF(SUMIFS('Cohort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Input'!$D$16:$D$75,J$27)=0,"",IF($C$25="Qty Sold",SUMIFS('Cohort Input'!$M$16:$M$75,'Cohort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Input'!$D$16:$D$75,J$27),IF($C$25="Revenue",SUMIFS('Cohort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Input'!$D$16:$D$75,J$27),IF($C$25="Gross Profit",SUMIFS('Cohort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Input'!$D$16:$D$75,J$27),IF($C$25="Gross Margin %",IFERROR(SUMIFS('Cohort Input'!$R$16:$R$75,'Cohort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Input'!$D$16:$D$75,J$27)/SUMIFS('Cohort Input'!$N$16:$N$75,'Cohort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Input'!$D$16:$D$75,J$27),""),SUMIFS('Cohort Input'!$S$16:$S$75,'Cohort Input'!$B$16:$B$75,"Product",'Cohort Input'!$C$16:$C$75,"&gt;="&amp;$I$8,'Cohort Input'!$J$16:$J$75,"&gt;="&amp;$I$8,'Cohort Input'!$J$16:$J$75,"&lt;="&amp;$L$8,'Cohort Input'!$I$16:$I$75,IF($O$8="All","*",$O$8),'Cohort Input'!$T$16:$T$75,IF($Q$8="All","*",$Q$8),'Cohort Input'!$H$16:$H$75,$D31,'Cohort Input'!$F$16:$F$75,$B31,'Cohort Input'!$G$16:$G$75,$C31,'Cohort Input'!$D$16:$D$75,J$27))))))</x:f>
      </x:c>
    </x:row>
    <x:row r="34">
      <x:c r="B34" s="198" t="str">
        <x:v>DRILLDOWN CONTRACT</x:v>
      </x:c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  <x:c r="O34" s="198"/>
      <x:c r="P34" s="198"/>
      <x:c r="Q34" s="198"/>
      <x:c r="R34" s="198"/>
      <x:c r="S34" s="198"/>
      <x:c r="T34" s="198"/>
      <x:c r="U34" s="198"/>
      <x:c r="V34" s="198"/>
      <x:c r="W34" s="198"/>
    </x:row>
    <x:row r="35">
      <x:c r="B35" s="212" t="str">
        <x:v>Cell click payload should carry cohort, period, metric, filters; Customer detail: customers/orders/qty/revenue. Product detail: product/SKU, qty/revenue/HPP/gross profit. Existing project modal/drawer pattern should be reused after code audit.</x:v>
      </x:c>
      <x:c r="C35" s="212"/>
      <x:c r="D35" s="212"/>
      <x:c r="E35" s="212"/>
      <x:c r="F35" s="212"/>
      <x:c r="G35" s="212"/>
      <x:c r="H35" s="212"/>
      <x:c r="I35" s="212"/>
      <x:c r="J35" s="212"/>
      <x:c r="K35" s="212"/>
      <x:c r="L35" s="212"/>
      <x:c r="M35" s="212"/>
      <x:c r="N35" s="212"/>
      <x:c r="O35" s="212"/>
      <x:c r="P35" s="212"/>
      <x:c r="Q35" s="212"/>
      <x:c r="R35" s="212"/>
      <x:c r="S35" s="212"/>
      <x:c r="T35" s="212"/>
      <x:c r="U35" s="212"/>
      <x:c r="V35" s="212"/>
      <x:c r="W35" s="212"/>
    </x:row>
  </x:sheetData>
  <x:mergeCells>
    <x:mergeCell ref="B2:W2"/>
    <x:mergeCell ref="B3:W3"/>
    <x:mergeCell ref="B4:W4"/>
    <x:mergeCell ref="B13:I13"/>
    <x:mergeCell ref="B35:W35"/>
  </x:mergeCells>
  <x:conditionalFormatting sqref="D16:I21">
    <x:cfRule type="colorScale" priority="1">
      <x:colorScale>
        <x:cfvo type="min"/>
        <x:cfvo type="percentile" val="50"/>
        <x:cfvo type="max"/>
        <x:color rgb="FFF3F5F7"/>
        <x:color rgb="FFBAE6FD"/>
        <x:color rgb="FF0284C7"/>
      </x:colorScale>
    </x:cfRule>
  </x:conditionalFormatting>
  <x:conditionalFormatting sqref="F28:J31">
    <x:cfRule type="colorScale" priority="2">
      <x:colorScale>
        <x:cfvo type="min"/>
        <x:cfvo type="percentile" val="50"/>
        <x:cfvo type="max"/>
        <x:color rgb="FFF3F5F7"/>
        <x:color rgb="FFFED7AA"/>
        <x:color rgb="FFEA580C"/>
      </x:colorScale>
    </x:cfRule>
  </x:conditionalFormatting>
  <x:dataValidations count="3">
    <x:dataValidation type="list" sqref="C8">
      <x:formula1>"Customer Cohort,Product Cohort"</x:formula1>
    </x:dataValidation>
    <x:dataValidation type="list" sqref="F8">
      <x:formula1>"Retention %,Active Customers,Orders,Qty Sold,Revenue"</x:formula1>
    </x:dataValidation>
    <x:dataValidation type="list" sqref="C25">
      <x:formula1>"Qty Sold,Revenue,Gross Profit,Gross Margin %,Net Profit"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13" hidden="0" customWidth="1"/>
    <x:col min="4" max="4" width="16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</x:cols>
  <x:sheetData>
    <x:row r="2" ht="24" customHeight="1">
      <x:c r="B2" s="192" t="str">
        <x:v>Marketplace Analytics — Product Performance</x:v>
      </x:c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</x:row>
    <x:row r="3" ht="24" customHeight="1">
      <x:c r="B3" s="194" t="str">
        <x:v>Product / SKU cohort performance linked to Cohort Input</x:v>
      </x:c>
      <x:c r="C3" s="194"/>
      <x:c r="D3" s="194"/>
      <x:c r="E3" s="194"/>
      <x:c r="F3" s="194"/>
      <x:c r="G3" s="194"/>
      <x:c r="H3" s="194"/>
      <x:c r="I3" s="194"/>
      <x:c r="J3" s="194"/>
      <x:c r="K3" s="194"/>
      <x:c r="L3" s="194"/>
    </x:row>
    <x:row r="4" ht="24" customHeight="1">
      <x:c r="B4" s="196" t="str">
        <x:v>Synthetic sample only. Product rows are formula-backed against Cohort Input.</x:v>
      </x:c>
      <x:c r="C4" s="196"/>
      <x:c r="D4" s="196"/>
      <x:c r="E4" s="196"/>
      <x:c r="F4" s="196"/>
      <x:c r="G4" s="196"/>
      <x:c r="H4" s="196"/>
      <x:c r="I4" s="196"/>
      <x:c r="J4" s="196"/>
      <x:c r="K4" s="196"/>
      <x:c r="L4" s="196"/>
    </x:row>
    <x:row r="6">
      <x:c r="B6" s="198" t="str">
        <x:v>TABS</x:v>
      </x:c>
      <x:c r="C6" s="198" t="str">
        <x:v>Overview | Product Performance | Cohort | Profitability</x:v>
      </x:c>
      <x:c r="D6" s="198"/>
      <x:c r="E6" s="198"/>
      <x:c r="F6" s="198"/>
      <x:c r="G6" s="198"/>
      <x:c r="H6" s="198"/>
      <x:c r="I6" s="198"/>
      <x:c r="J6" s="198"/>
      <x:c r="K6" s="198"/>
      <x:c r="L6" s="198"/>
    </x:row>
    <x:row r="9">
      <x:c r="B9" s="201" t="str">
        <x:v>FASTEST GROWING</x:v>
      </x:c>
      <x:c r="C9" s="224" t="str">
        <x:f>IFERROR(INDEX($B$16:$B$19,MATCH(MAX($F$16:$F$19),$F$16:$F$19,0)),"")</x:f>
        <x:v>Tracktop Black</x:v>
      </x:c>
      <x:c r="D9" s="201" t="str">
        <x:v>BEST COHORT</x:v>
      </x:c>
      <x:c r="E9" s="201" t="str"/>
      <x:c r="F9" s="225" t="n">
        <x:f>IFERROR(INDEX($E$16:$E$19,MATCH(MAX($K$16:$K$19),$K$16:$K$19,0)),"")</x:f>
        <x:v>46023</x:v>
      </x:c>
      <x:c r="G9" s="201" t="str"/>
      <x:c r="H9" s="201" t="str">
        <x:v>AVG GROSS MARGIN</x:v>
      </x:c>
      <x:c r="I9" s="225" t="n">
        <x:f>IFERROR(INDEX($E$16:$E$19,MATCH(MAX($I$16:$I$19),$I$16:$I$19,0)),"")</x:f>
        <x:v>46023</x:v>
      </x:c>
      <x:c r="J9" s="201" t="str"/>
      <x:c r="K9" s="201" t="str"/>
      <x:c r="L9" s="226" t="n">
        <x:f>AVERAGE($L$16:$L$19)</x:f>
        <x:v>0.4</x:v>
      </x:c>
    </x:row>
    <x:row r="12">
      <x:c r="B12" s="198" t="str">
        <x:v>PRODUCT / SKU COHORT OUTPUT</x:v>
      </x:c>
      <x:c r="C12" s="198"/>
      <x:c r="D12" s="198"/>
      <x:c r="E12" s="198"/>
      <x:c r="F12" s="198"/>
      <x:c r="G12" s="198"/>
      <x:c r="H12" s="198"/>
      <x:c r="I12" s="198"/>
      <x:c r="J12" s="198"/>
      <x:c r="K12" s="198"/>
      <x:c r="L12" s="198"/>
    </x:row>
    <x:row r="13">
      <x:c r="B13" s="229" t="str">
        <x:v>Gross profit = revenue − marketplace fee − HPP. Net profit = gross profit − ads only where coverage is valid.</x:v>
      </x:c>
      <x:c r="C13" s="229"/>
      <x:c r="D13" s="229"/>
      <x:c r="E13" s="229"/>
      <x:c r="F13" s="229"/>
      <x:c r="G13" s="229"/>
      <x:c r="H13" s="229"/>
      <x:c r="I13" s="229"/>
      <x:c r="J13" s="229"/>
      <x:c r="K13" s="229"/>
      <x:c r="L13" s="229"/>
    </x:row>
    <x:row r="15">
      <x:c r="B15" s="158" t="str">
        <x:v>Product</x:v>
      </x:c>
      <x:c r="C15" s="158" t="str">
        <x:v>SKU</x:v>
      </x:c>
      <x:c r="D15" s="158" t="str">
        <x:v>Category</x:v>
      </x:c>
      <x:c r="E15" s="158" t="str">
        <x:v>Cohort Month</x:v>
      </x:c>
      <x:c r="F15" s="158" t="str">
        <x:v>M0 Qty</x:v>
      </x:c>
      <x:c r="G15" s="158" t="str">
        <x:v>M1 Qty</x:v>
      </x:c>
      <x:c r="H15" s="158" t="str">
        <x:v>M2 Qty</x:v>
      </x:c>
      <x:c r="I15" s="158" t="str">
        <x:v>Revenue</x:v>
      </x:c>
      <x:c r="J15" s="158" t="str">
        <x:v>HPP</x:v>
      </x:c>
      <x:c r="K15" s="158" t="str">
        <x:v>Gross Profit</x:v>
      </x:c>
      <x:c r="L15" s="158" t="str">
        <x:v>Gross Margin %</x:v>
      </x:c>
    </x:row>
    <x:row r="16">
      <x:c r="B16" s="215" t="str">
        <x:v>Tracktop Black</x:v>
      </x:c>
      <x:c r="C16" s="215" t="str">
        <x:v>TT-BLK</x:v>
      </x:c>
      <x:c r="D16" s="215" t="str">
        <x:v>Apparel</x:v>
      </x:c>
      <x:c r="E16" s="241" t="n">
        <x:v>46023</x:v>
      </x:c>
      <x:c r="F16" s="245" t="n">
        <x:f>SUMIFS('Cohort Input'!$M$16:$M$75,'Cohort Input'!$B$16:$B$75,"Product",'Cohort Input'!$F$16:$F$75,$B16,'Cohort Input'!$G$16:$G$75,$C16,'Cohort Input'!$H$16:$H$75,$D16,'Cohort Input'!$D$16:$D$75,0)</x:f>
        <x:v>320</x:v>
      </x:c>
      <x:c r="G16" s="245" t="n">
        <x:f>SUMIFS('Cohort Input'!$M$16:$M$75,'Cohort Input'!$B$16:$B$75,"Product",'Cohort Input'!$F$16:$F$75,$B16,'Cohort Input'!$G$16:$G$75,$C16,'Cohort Input'!$H$16:$H$75,$D16,'Cohort Input'!$D$16:$D$75,1)</x:f>
        <x:v>410</x:v>
      </x:c>
      <x:c r="H16" s="245" t="n">
        <x:f>SUMIFS('Cohort Input'!$M$16:$M$75,'Cohort Input'!$B$16:$B$75,"Product",'Cohort Input'!$F$16:$F$75,$B16,'Cohort Input'!$G$16:$G$75,$C16,'Cohort Input'!$H$16:$H$75,$D16,'Cohort Input'!$D$16:$D$75,2)</x:f>
        <x:v>530</x:v>
      </x:c>
      <x:c r="I16" s="247" t="n">
        <x:f>SUMIFS('Cohort Input'!$N$16:$N$75,'Cohort Input'!$B$16:$B$75,"Product",'Cohort Input'!$F$16:$F$75,$B16,'Cohort Input'!$G$16:$G$75,$C16,'Cohort Input'!$H$16:$H$75,$D16)</x:f>
        <x:v>484700000</x:v>
      </x:c>
      <x:c r="J16" s="247" t="n">
        <x:f>SUMIFS('Cohort Input'!$O$16:$O$75,'Cohort Input'!$B$16:$B$75,"Product",'Cohort Input'!$F$16:$F$75,$B16,'Cohort Input'!$G$16:$G$75,$C16,'Cohort Input'!$H$16:$H$75,$D16)</x:f>
        <x:v>203574000</x:v>
      </x:c>
      <x:c r="K16" s="247" t="n">
        <x:f>SUMIFS('Cohort Input'!$R$16:$R$75,'Cohort Input'!$B$16:$B$75,"Product",'Cohort Input'!$F$16:$F$75,$B16,'Cohort Input'!$G$16:$G$75,$C16,'Cohort Input'!$H$16:$H$75,$D16)</x:f>
        <x:v>193880000</x:v>
      </x:c>
      <x:c r="L16" s="249" t="n">
        <x:f>IFERROR(K16/I16,"")</x:f>
        <x:v>0.4</x:v>
      </x:c>
    </x:row>
    <x:row r="17">
      <x:c r="B17" s="215" t="str">
        <x:v>Tracktop Navy</x:v>
      </x:c>
      <x:c r="C17" s="215" t="str">
        <x:v>TT-NVY</x:v>
      </x:c>
      <x:c r="D17" s="215" t="str">
        <x:v>Apparel</x:v>
      </x:c>
      <x:c r="E17" s="241" t="n">
        <x:v>46023</x:v>
      </x:c>
      <x:c r="F17" s="245" t="n">
        <x:f>SUMIFS('Cohort Input'!$M$16:$M$75,'Cohort Input'!$B$16:$B$75,"Product",'Cohort Input'!$F$16:$F$75,$B17,'Cohort Input'!$G$16:$G$75,$C17,'Cohort Input'!$H$16:$H$75,$D17,'Cohort Input'!$D$16:$D$75,0)</x:f>
        <x:v>280</x:v>
      </x:c>
      <x:c r="G17" s="245" t="n">
        <x:f>SUMIFS('Cohort Input'!$M$16:$M$75,'Cohort Input'!$B$16:$B$75,"Product",'Cohort Input'!$F$16:$F$75,$B17,'Cohort Input'!$G$16:$G$75,$C17,'Cohort Input'!$H$16:$H$75,$D17,'Cohort Input'!$D$16:$D$75,1)</x:f>
        <x:v>390</x:v>
      </x:c>
      <x:c r="H17" s="245" t="n">
        <x:f>SUMIFS('Cohort Input'!$M$16:$M$75,'Cohort Input'!$B$16:$B$75,"Product",'Cohort Input'!$F$16:$F$75,$B17,'Cohort Input'!$G$16:$G$75,$C17,'Cohort Input'!$H$16:$H$75,$D17,'Cohort Input'!$D$16:$D$75,2)</x:f>
        <x:v>440</x:v>
      </x:c>
      <x:c r="I17" s="247" t="n">
        <x:f>SUMIFS('Cohort Input'!$N$16:$N$75,'Cohort Input'!$B$16:$B$75,"Product",'Cohort Input'!$F$16:$F$75,$B17,'Cohort Input'!$G$16:$G$75,$C17,'Cohort Input'!$H$16:$H$75,$D17)</x:f>
        <x:v>473600000</x:v>
      </x:c>
      <x:c r="J17" s="247" t="n">
        <x:f>SUMIFS('Cohort Input'!$O$16:$O$75,'Cohort Input'!$B$16:$B$75,"Product",'Cohort Input'!$F$16:$F$75,$B17,'Cohort Input'!$G$16:$G$75,$C17,'Cohort Input'!$H$16:$H$75,$D17)</x:f>
        <x:v>198912000</x:v>
      </x:c>
      <x:c r="K17" s="247" t="n">
        <x:f>SUMIFS('Cohort Input'!$R$16:$R$75,'Cohort Input'!$B$16:$B$75,"Product",'Cohort Input'!$F$16:$F$75,$B17,'Cohort Input'!$G$16:$G$75,$C17,'Cohort Input'!$H$16:$H$75,$D17)</x:f>
        <x:v>189440000</x:v>
      </x:c>
      <x:c r="L17" s="249" t="n">
        <x:f>IFERROR(K17/I17,"")</x:f>
        <x:v>0.4</x:v>
      </x:c>
    </x:row>
    <x:row r="18">
      <x:c r="B18" s="215" t="str">
        <x:v>Basic Tee White</x:v>
      </x:c>
      <x:c r="C18" s="215" t="str">
        <x:v>TEE-WHT</x:v>
      </x:c>
      <x:c r="D18" s="215" t="str">
        <x:v>Apparel</x:v>
      </x:c>
      <x:c r="E18" s="241" t="n">
        <x:v>46054</x:v>
      </x:c>
      <x:c r="F18" s="245" t="n">
        <x:f>SUMIFS('Cohort Input'!$M$16:$M$75,'Cohort Input'!$B$16:$B$75,"Product",'Cohort Input'!$F$16:$F$75,$B18,'Cohort Input'!$G$16:$G$75,$C18,'Cohort Input'!$H$16:$H$75,$D18,'Cohort Input'!$D$16:$D$75,0)</x:f>
        <x:v>220</x:v>
      </x:c>
      <x:c r="G18" s="245" t="n">
        <x:f>SUMIFS('Cohort Input'!$M$16:$M$75,'Cohort Input'!$B$16:$B$75,"Product",'Cohort Input'!$F$16:$F$75,$B18,'Cohort Input'!$G$16:$G$75,$C18,'Cohort Input'!$H$16:$H$75,$D18,'Cohort Input'!$D$16:$D$75,1)</x:f>
        <x:v>260</x:v>
      </x:c>
      <x:c r="H18" s="245" t="n">
        <x:f>SUMIFS('Cohort Input'!$M$16:$M$75,'Cohort Input'!$B$16:$B$75,"Product",'Cohort Input'!$F$16:$F$75,$B18,'Cohort Input'!$G$16:$G$75,$C18,'Cohort Input'!$H$16:$H$75,$D18,'Cohort Input'!$D$16:$D$75,2)</x:f>
        <x:v>300</x:v>
      </x:c>
      <x:c r="I18" s="247" t="n">
        <x:f>SUMIFS('Cohort Input'!$N$16:$N$75,'Cohort Input'!$B$16:$B$75,"Product",'Cohort Input'!$F$16:$F$75,$B18,'Cohort Input'!$G$16:$G$75,$C18,'Cohort Input'!$H$16:$H$75,$D18)</x:f>
        <x:v>135375000</x:v>
      </x:c>
      <x:c r="J18" s="247" t="n">
        <x:f>SUMIFS('Cohort Input'!$O$16:$O$75,'Cohort Input'!$B$16:$B$75,"Product",'Cohort Input'!$F$16:$F$75,$B18,'Cohort Input'!$G$16:$G$75,$C18,'Cohort Input'!$H$16:$H$75,$D18)</x:f>
        <x:v>56857500</x:v>
      </x:c>
      <x:c r="K18" s="247" t="n">
        <x:f>SUMIFS('Cohort Input'!$R$16:$R$75,'Cohort Input'!$B$16:$B$75,"Product",'Cohort Input'!$F$16:$F$75,$B18,'Cohort Input'!$G$16:$G$75,$C18,'Cohort Input'!$H$16:$H$75,$D18)</x:f>
        <x:v>54150000</x:v>
      </x:c>
      <x:c r="L18" s="249" t="n">
        <x:f>IFERROR(K18/I18,"")</x:f>
        <x:v>0.4</x:v>
      </x:c>
    </x:row>
    <x:row r="19">
      <x:c r="B19" s="215" t="str">
        <x:v>Canvas Bag</x:v>
      </x:c>
      <x:c r="C19" s="215" t="str">
        <x:v>BAG-CNV</x:v>
      </x:c>
      <x:c r="D19" s="215" t="str">
        <x:v>Accessories</x:v>
      </x:c>
      <x:c r="E19" s="241" t="n">
        <x:v>46082</x:v>
      </x:c>
      <x:c r="F19" s="245" t="n">
        <x:f>SUMIFS('Cohort Input'!$M$16:$M$75,'Cohort Input'!$B$16:$B$75,"Product",'Cohort Input'!$F$16:$F$75,$B19,'Cohort Input'!$G$16:$G$75,$C19,'Cohort Input'!$H$16:$H$75,$D19,'Cohort Input'!$D$16:$D$75,0)</x:f>
        <x:v>150</x:v>
      </x:c>
      <x:c r="G19" s="245" t="n">
        <x:f>SUMIFS('Cohort Input'!$M$16:$M$75,'Cohort Input'!$B$16:$B$75,"Product",'Cohort Input'!$F$16:$F$75,$B19,'Cohort Input'!$G$16:$G$75,$C19,'Cohort Input'!$H$16:$H$75,$D19,'Cohort Input'!$D$16:$D$75,1)</x:f>
        <x:v>180</x:v>
      </x:c>
      <x:c r="H19" s="245" t="n">
        <x:f>SUMIFS('Cohort Input'!$M$16:$M$75,'Cohort Input'!$B$16:$B$75,"Product",'Cohort Input'!$F$16:$F$75,$B19,'Cohort Input'!$G$16:$G$75,$C19,'Cohort Input'!$H$16:$H$75,$D19,'Cohort Input'!$D$16:$D$75,2)</x:f>
        <x:v>220</x:v>
      </x:c>
      <x:c r="I19" s="247" t="n">
        <x:f>SUMIFS('Cohort Input'!$N$16:$N$75,'Cohort Input'!$B$16:$B$75,"Product",'Cohort Input'!$F$16:$F$75,$B19,'Cohort Input'!$G$16:$G$75,$C19,'Cohort Input'!$H$16:$H$75,$D19)</x:f>
        <x:v>100000000</x:v>
      </x:c>
      <x:c r="J19" s="247" t="n">
        <x:f>SUMIFS('Cohort Input'!$O$16:$O$75,'Cohort Input'!$B$16:$B$75,"Product",'Cohort Input'!$F$16:$F$75,$B19,'Cohort Input'!$G$16:$G$75,$C19,'Cohort Input'!$H$16:$H$75,$D19)</x:f>
        <x:v>42000000</x:v>
      </x:c>
      <x:c r="K19" s="247" t="n">
        <x:f>SUMIFS('Cohort Input'!$R$16:$R$75,'Cohort Input'!$B$16:$B$75,"Product",'Cohort Input'!$F$16:$F$75,$B19,'Cohort Input'!$G$16:$G$75,$C19,'Cohort Input'!$H$16:$H$75,$D19)</x:f>
        <x:v>40000000</x:v>
      </x:c>
      <x:c r="L19" s="249" t="n">
        <x:f>IFERROR(K19/I19,"")</x:f>
        <x:v>0.4</x:v>
      </x:c>
    </x:row>
  </x:sheetData>
  <x:mergeCells>
    <x:mergeCell ref="B2:L2"/>
    <x:mergeCell ref="B3:L3"/>
    <x:mergeCell ref="B4:L4"/>
    <x:mergeCell ref="B13:L13"/>
  </x:mergeCells>
  <x:conditionalFormatting sqref="L16:L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e9c31ec42c44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13" hidden="0" customWidth="1"/>
    <x:col min="4" max="4" width="16" hidden="0" customWidth="1"/>
    <x:col min="5" max="5" width="15" hidden="0" customWidth="1"/>
    <x:col min="6" max="6" width="15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</x:cols>
  <x:sheetData>
    <x:row r="2" ht="24" customHeight="1">
      <x:c r="B2" s="192" t="str">
        <x:v>Marketplace Analytics — Profitability</x:v>
      </x:c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</x:row>
    <x:row r="3" ht="24" customHeight="1">
      <x:c r="B3" s="194" t="str">
        <x:v>Cohort profitability bridge for HPP, marketplace fee, ads, and net profit</x:v>
      </x:c>
      <x:c r="C3" s="194"/>
      <x:c r="D3" s="194"/>
      <x:c r="E3" s="194"/>
      <x:c r="F3" s="194"/>
      <x:c r="G3" s="194"/>
      <x:c r="H3" s="194"/>
      <x:c r="I3" s="194"/>
      <x:c r="J3" s="194"/>
      <x:c r="K3" s="194"/>
      <x:c r="L3" s="194"/>
    </x:row>
    <x:row r="4" ht="24" customHeight="1">
      <x:c r="B4" s="196" t="str">
        <x:v>Synthetic sample only. Use real settlement/HPP/ad coverage before decision-making.</x:v>
      </x:c>
      <x:c r="C4" s="196"/>
      <x:c r="D4" s="196"/>
      <x:c r="E4" s="196"/>
      <x:c r="F4" s="196"/>
      <x:c r="G4" s="196"/>
      <x:c r="H4" s="196"/>
      <x:c r="I4" s="196"/>
      <x:c r="J4" s="196"/>
      <x:c r="K4" s="196"/>
      <x:c r="L4" s="196"/>
    </x:row>
    <x:row r="6">
      <x:c r="B6" s="198" t="str">
        <x:v>TABS</x:v>
      </x:c>
      <x:c r="C6" s="198" t="str">
        <x:v>Overview | Product Performance | Cohort | Profitability</x:v>
      </x:c>
      <x:c r="D6" s="198"/>
      <x:c r="E6" s="198"/>
      <x:c r="F6" s="198"/>
      <x:c r="G6" s="198"/>
      <x:c r="H6" s="198"/>
      <x:c r="I6" s="198"/>
      <x:c r="J6" s="198"/>
      <x:c r="K6" s="198"/>
      <x:c r="L6" s="198"/>
    </x:row>
    <x:row r="9">
      <x:c r="B9" s="198" t="str">
        <x:v>PROFITABILITY BRIDGE</x:v>
      </x:c>
      <x:c r="C9" s="198"/>
      <x:c r="D9" s="198"/>
      <x:c r="E9" s="198"/>
      <x:c r="F9" s="198"/>
      <x:c r="G9" s="198"/>
      <x:c r="H9" s="198"/>
      <x:c r="I9" s="198"/>
      <x:c r="J9" s="198"/>
      <x:c r="K9" s="198"/>
      <x:c r="L9" s="198"/>
    </x:row>
    <x:row r="10">
      <x:c r="B10" s="229" t="str">
        <x:v>Gross Profit = Revenue − Marketplace Fee − HPP. Net Profit = Gross Profit − Ads. Values remain sample until Cohort Input is replaced.</x:v>
      </x:c>
      <x:c r="C10" s="229"/>
      <x:c r="D10" s="229"/>
      <x:c r="E10" s="229"/>
      <x:c r="F10" s="229"/>
      <x:c r="G10" s="229"/>
      <x:c r="H10" s="229"/>
      <x:c r="I10" s="229"/>
      <x:c r="J10" s="229"/>
      <x:c r="K10" s="229"/>
      <x:c r="L10" s="229"/>
    </x:row>
    <x:row r="12">
      <x:c r="B12" s="158" t="str">
        <x:v>Product</x:v>
      </x:c>
      <x:c r="C12" s="158" t="str">
        <x:v>SKU</x:v>
      </x:c>
      <x:c r="D12" s="158" t="str">
        <x:v>Category</x:v>
      </x:c>
      <x:c r="E12" s="158" t="str">
        <x:v>Revenue</x:v>
      </x:c>
      <x:c r="F12" s="158" t="str">
        <x:v>HPP</x:v>
      </x:c>
      <x:c r="G12" s="158" t="str">
        <x:v>Marketplace Fee</x:v>
      </x:c>
      <x:c r="H12" s="158" t="str">
        <x:v>Ads</x:v>
      </x:c>
      <x:c r="I12" s="158" t="str">
        <x:v>Gross Profit</x:v>
      </x:c>
      <x:c r="J12" s="158" t="str">
        <x:v>Gross Margin %</x:v>
      </x:c>
      <x:c r="K12" s="158" t="str">
        <x:v>Net Profit</x:v>
      </x:c>
      <x:c r="L12" s="158" t="str">
        <x:v>Coverage</x:v>
      </x:c>
    </x:row>
    <x:row r="13">
      <x:c r="B13" s="215" t="str">
        <x:f>'Product Performance'!B16</x:f>
        <x:v>Tracktop Black</x:v>
      </x:c>
      <x:c r="C13" s="215" t="str">
        <x:f>'Product Performance'!C16</x:f>
        <x:v>TT-BLK</x:v>
      </x:c>
      <x:c r="D13" s="215" t="str">
        <x:f>'Product Performance'!D16</x:f>
        <x:v>Apparel</x:v>
      </x:c>
      <x:c r="E13" s="247" t="n">
        <x:f>'Product Performance'!I16</x:f>
        <x:v>484700000</x:v>
      </x:c>
      <x:c r="F13" s="247" t="n">
        <x:f>'Product Performance'!J16</x:f>
        <x:v>203574000</x:v>
      </x:c>
      <x:c r="G13" s="247" t="n">
        <x:f>SUMIFS('Cohort Input'!$P$16:$P$75,'Cohort Input'!$B$16:$B$75,"Product",'Cohort Input'!$F$16:$F$75,$B13)</x:f>
        <x:v>87246000</x:v>
      </x:c>
      <x:c r="H13" s="247" t="n">
        <x:f>SUMIFS('Cohort Input'!$Q$16:$Q$75,'Cohort Input'!$B$16:$B$75,"Product",'Cohort Input'!$F$16:$F$75,$B13)</x:f>
        <x:v>19388000</x:v>
      </x:c>
      <x:c r="I13" s="247" t="n">
        <x:f>'Product Performance'!K16</x:f>
        <x:v>193880000</x:v>
      </x:c>
      <x:c r="J13" s="249" t="n">
        <x:f>IFERROR(I13/E13,"")</x:f>
        <x:v>0.4</x:v>
      </x:c>
      <x:c r="K13" s="253" t="n">
        <x:f>I13-H13</x:f>
        <x:v>174492000</x:v>
      </x:c>
      <x:c r="L13" s="251" t="str">
        <x:f>IF(COUNTIF('Cohort Input'!$U$16:$U$75,"valid")&gt;0,"Review coverage","Missing")</x:f>
        <x:v>Review coverage</x:v>
      </x:c>
    </x:row>
    <x:row r="14">
      <x:c r="B14" s="215" t="str">
        <x:f>'Product Performance'!B17</x:f>
        <x:v>Tracktop Navy</x:v>
      </x:c>
      <x:c r="C14" s="215" t="str">
        <x:f>'Product Performance'!C17</x:f>
        <x:v>TT-NVY</x:v>
      </x:c>
      <x:c r="D14" s="215" t="str">
        <x:f>'Product Performance'!D17</x:f>
        <x:v>Apparel</x:v>
      </x:c>
      <x:c r="E14" s="247" t="n">
        <x:f>'Product Performance'!I17</x:f>
        <x:v>473600000</x:v>
      </x:c>
      <x:c r="F14" s="247" t="n">
        <x:f>'Product Performance'!J17</x:f>
        <x:v>198912000</x:v>
      </x:c>
      <x:c r="G14" s="247" t="n">
        <x:f>SUMIFS('Cohort Input'!$P$16:$P$75,'Cohort Input'!$B$16:$B$75,"Product",'Cohort Input'!$F$16:$F$75,$B14)</x:f>
        <x:v>85248000</x:v>
      </x:c>
      <x:c r="H14" s="247" t="n">
        <x:f>SUMIFS('Cohort Input'!$Q$16:$Q$75,'Cohort Input'!$B$16:$B$75,"Product",'Cohort Input'!$F$16:$F$75,$B14)</x:f>
        <x:v>18944000</x:v>
      </x:c>
      <x:c r="I14" s="247" t="n">
        <x:f>'Product Performance'!K17</x:f>
        <x:v>189440000</x:v>
      </x:c>
      <x:c r="J14" s="249" t="n">
        <x:f>IFERROR(I14/E14,"")</x:f>
        <x:v>0.4</x:v>
      </x:c>
      <x:c r="K14" s="253" t="n">
        <x:f>I14-H14</x:f>
        <x:v>170496000</x:v>
      </x:c>
      <x:c r="L14" s="251" t="str">
        <x:f>IF(COUNTIF('Cohort Input'!$U$16:$U$75,"valid")&gt;0,"Review coverage","Missing")</x:f>
        <x:v>Review coverage</x:v>
      </x:c>
    </x:row>
    <x:row r="15">
      <x:c r="B15" s="215" t="str">
        <x:f>'Product Performance'!B18</x:f>
        <x:v>Basic Tee White</x:v>
      </x:c>
      <x:c r="C15" s="215" t="str">
        <x:f>'Product Performance'!C18</x:f>
        <x:v>TEE-WHT</x:v>
      </x:c>
      <x:c r="D15" s="215" t="str">
        <x:f>'Product Performance'!D18</x:f>
        <x:v>Apparel</x:v>
      </x:c>
      <x:c r="E15" s="247" t="n">
        <x:f>'Product Performance'!I18</x:f>
        <x:v>135375000</x:v>
      </x:c>
      <x:c r="F15" s="247" t="n">
        <x:f>'Product Performance'!J18</x:f>
        <x:v>56857500</x:v>
      </x:c>
      <x:c r="G15" s="247" t="n">
        <x:f>SUMIFS('Cohort Input'!$P$16:$P$75,'Cohort Input'!$B$16:$B$75,"Product",'Cohort Input'!$F$16:$F$75,$B15)</x:f>
        <x:v>24367500</x:v>
      </x:c>
      <x:c r="H15" s="247" t="n">
        <x:f>SUMIFS('Cohort Input'!$Q$16:$Q$75,'Cohort Input'!$B$16:$B$75,"Product",'Cohort Input'!$F$16:$F$75,$B15)</x:f>
        <x:v>5415000</x:v>
      </x:c>
      <x:c r="I15" s="247" t="n">
        <x:f>'Product Performance'!K18</x:f>
        <x:v>54150000</x:v>
      </x:c>
      <x:c r="J15" s="249" t="n">
        <x:f>IFERROR(I15/E15,"")</x:f>
        <x:v>0.4</x:v>
      </x:c>
      <x:c r="K15" s="253" t="n">
        <x:f>I15-H15</x:f>
        <x:v>48735000</x:v>
      </x:c>
      <x:c r="L15" s="251" t="str">
        <x:f>IF(COUNTIF('Cohort Input'!$U$16:$U$75,"valid")&gt;0,"Review coverage","Missing")</x:f>
        <x:v>Review coverage</x:v>
      </x:c>
    </x:row>
    <x:row r="16">
      <x:c r="B16" s="215" t="str">
        <x:f>'Product Performance'!B19</x:f>
        <x:v>Canvas Bag</x:v>
      </x:c>
      <x:c r="C16" s="215" t="str">
        <x:f>'Product Performance'!C19</x:f>
        <x:v>BAG-CNV</x:v>
      </x:c>
      <x:c r="D16" s="215" t="str">
        <x:f>'Product Performance'!D19</x:f>
        <x:v>Accessories</x:v>
      </x:c>
      <x:c r="E16" s="247" t="n">
        <x:f>'Product Performance'!I19</x:f>
        <x:v>100000000</x:v>
      </x:c>
      <x:c r="F16" s="247" t="n">
        <x:f>'Product Performance'!J19</x:f>
        <x:v>42000000</x:v>
      </x:c>
      <x:c r="G16" s="247" t="n">
        <x:f>SUMIFS('Cohort Input'!$P$16:$P$75,'Cohort Input'!$B$16:$B$75,"Product",'Cohort Input'!$F$16:$F$75,$B16)</x:f>
        <x:v>18000000</x:v>
      </x:c>
      <x:c r="H16" s="247" t="n">
        <x:f>SUMIFS('Cohort Input'!$Q$16:$Q$75,'Cohort Input'!$B$16:$B$75,"Product",'Cohort Input'!$F$16:$F$75,$B16)</x:f>
        <x:v>4000000</x:v>
      </x:c>
      <x:c r="I16" s="247" t="n">
        <x:f>'Product Performance'!K19</x:f>
        <x:v>40000000</x:v>
      </x:c>
      <x:c r="J16" s="249" t="n">
        <x:f>IFERROR(I16/E16,"")</x:f>
        <x:v>0.4</x:v>
      </x:c>
      <x:c r="K16" s="253" t="n">
        <x:f>I16-H16</x:f>
        <x:v>36000000</x:v>
      </x:c>
      <x:c r="L16" s="251" t="str">
        <x:f>IF(COUNTIF('Cohort Input'!$U$16:$U$75,"valid")&gt;0,"Review coverage","Missing")</x:f>
        <x:v>Review coverage</x:v>
      </x:c>
    </x:row>
    <x:row r="19">
      <x:c r="B19" s="198" t="str">
        <x:v>AUDIT NOTE</x:v>
      </x:c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</x:row>
    <x:row r="20">
      <x:c r="B20" s="212" t="str">
        <x:v>Current project profit logic is settlement/HPP quality-gated and uses payout/HPP/ad cost. Align cohort revenue basis with MarketplaceProfitReportService before production rollout.</x:v>
      </x:c>
      <x:c r="C20" s="212"/>
      <x:c r="D20" s="212"/>
      <x:c r="E20" s="212"/>
      <x:c r="F20" s="212"/>
      <x:c r="G20" s="212"/>
      <x:c r="H20" s="212"/>
      <x:c r="I20" s="212"/>
      <x:c r="J20" s="212"/>
      <x:c r="K20" s="212"/>
      <x:c r="L20" s="212"/>
    </x:row>
  </x:sheetData>
  <x:mergeCells>
    <x:mergeCell ref="B2:L2"/>
    <x:mergeCell ref="B3:L3"/>
    <x:mergeCell ref="B4:L4"/>
    <x:mergeCell ref="B10:L10"/>
    <x:mergeCell ref="B20:L20"/>
  </x:mergeCells>
  <x:pageMargins left="0.7" right="0.7" top="0.75" bottom="0.75" header="0.3" footer="0.3"/>
</x:worksheet>
</file>